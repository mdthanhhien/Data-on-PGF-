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ghien cuu khoa hoc\non thang cham tang truong\luan van\FILE NHẬP SỐ LIỆU final\MẪU HỒI CỨU\"/>
    </mc:Choice>
  </mc:AlternateContent>
  <xr:revisionPtr revIDLastSave="0" documentId="13_ncr:1_{3678EC77-B735-4F1C-93A0-5EDCA116EC6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9" i="1" l="1"/>
  <c r="AB29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N34" i="1"/>
  <c r="M34" i="1"/>
  <c r="L34" i="1"/>
  <c r="K34" i="1"/>
  <c r="J34" i="1"/>
  <c r="I34" i="1"/>
  <c r="H34" i="1"/>
  <c r="G34" i="1"/>
  <c r="F34" i="1"/>
  <c r="E34" i="1"/>
  <c r="D34" i="1"/>
  <c r="C34" i="1"/>
  <c r="B34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N33" i="1"/>
  <c r="M33" i="1"/>
  <c r="L33" i="1"/>
  <c r="K33" i="1"/>
  <c r="J33" i="1"/>
  <c r="I33" i="1"/>
  <c r="H33" i="1"/>
  <c r="G33" i="1"/>
  <c r="F33" i="1"/>
  <c r="E33" i="1"/>
  <c r="D33" i="1"/>
  <c r="C33" i="1"/>
  <c r="B33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N32" i="1"/>
  <c r="M32" i="1"/>
  <c r="L32" i="1"/>
  <c r="K32" i="1"/>
  <c r="J32" i="1"/>
  <c r="I32" i="1"/>
  <c r="H32" i="1"/>
  <c r="G32" i="1"/>
  <c r="F32" i="1"/>
  <c r="E32" i="1"/>
  <c r="D32" i="1"/>
  <c r="C32" i="1"/>
  <c r="B32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N31" i="1"/>
  <c r="M31" i="1"/>
  <c r="L31" i="1"/>
  <c r="K31" i="1"/>
  <c r="J31" i="1"/>
  <c r="I31" i="1"/>
  <c r="H31" i="1"/>
  <c r="G31" i="1"/>
  <c r="F31" i="1"/>
  <c r="E31" i="1"/>
  <c r="D31" i="1"/>
  <c r="C31" i="1"/>
  <c r="B31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N30" i="1"/>
  <c r="M30" i="1"/>
  <c r="L30" i="1"/>
  <c r="K30" i="1"/>
  <c r="J30" i="1"/>
  <c r="I30" i="1"/>
  <c r="H30" i="1"/>
  <c r="G30" i="1"/>
  <c r="F30" i="1"/>
  <c r="E30" i="1"/>
  <c r="D30" i="1"/>
  <c r="C30" i="1"/>
  <c r="B30" i="1"/>
  <c r="AD8" i="1"/>
  <c r="W29" i="1" l="1"/>
  <c r="X29" i="1"/>
  <c r="Y29" i="1"/>
  <c r="Z29" i="1"/>
  <c r="AA29" i="1"/>
  <c r="V29" i="1"/>
  <c r="P29" i="1"/>
  <c r="Q29" i="1"/>
  <c r="R29" i="1"/>
  <c r="S29" i="1"/>
  <c r="T29" i="1"/>
  <c r="U29" i="1"/>
  <c r="O29" i="1"/>
  <c r="I29" i="1"/>
  <c r="J29" i="1"/>
  <c r="K29" i="1"/>
  <c r="L29" i="1"/>
  <c r="M29" i="1"/>
  <c r="N29" i="1"/>
  <c r="H29" i="1"/>
  <c r="C29" i="1"/>
  <c r="D29" i="1"/>
  <c r="E29" i="1"/>
  <c r="F29" i="1"/>
  <c r="G29" i="1"/>
  <c r="B29" i="1"/>
  <c r="S21" i="1" l="1"/>
  <c r="S25" i="1" s="1"/>
  <c r="O8" i="1" l="1"/>
  <c r="C21" i="1"/>
  <c r="C25" i="1" s="1"/>
  <c r="D21" i="1"/>
  <c r="D25" i="1" s="1"/>
  <c r="E21" i="1"/>
  <c r="E25" i="1" s="1"/>
  <c r="F21" i="1"/>
  <c r="F25" i="1" s="1"/>
  <c r="G21" i="1"/>
  <c r="H21" i="1"/>
  <c r="H25" i="1" s="1"/>
  <c r="I21" i="1"/>
  <c r="I25" i="1" s="1"/>
  <c r="J21" i="1"/>
  <c r="J25" i="1" s="1"/>
  <c r="K21" i="1"/>
  <c r="K25" i="1" s="1"/>
  <c r="L21" i="1"/>
  <c r="L25" i="1" s="1"/>
  <c r="M21" i="1"/>
  <c r="M25" i="1" s="1"/>
  <c r="N21" i="1"/>
  <c r="N25" i="1" s="1"/>
  <c r="O21" i="1"/>
  <c r="O25" i="1" s="1"/>
  <c r="P21" i="1"/>
  <c r="P25" i="1" s="1"/>
  <c r="Q21" i="1"/>
  <c r="Q25" i="1" s="1"/>
  <c r="R21" i="1"/>
  <c r="R25" i="1" s="1"/>
  <c r="T21" i="1"/>
  <c r="T25" i="1" s="1"/>
  <c r="U21" i="1"/>
  <c r="U25" i="1" s="1"/>
  <c r="V21" i="1"/>
  <c r="V25" i="1" s="1"/>
  <c r="W21" i="1"/>
  <c r="W25" i="1" s="1"/>
  <c r="X21" i="1"/>
  <c r="X25" i="1" s="1"/>
  <c r="Y21" i="1"/>
  <c r="Y25" i="1" s="1"/>
  <c r="Z21" i="1"/>
  <c r="Z25" i="1" s="1"/>
  <c r="AA21" i="1"/>
  <c r="AA25" i="1" s="1"/>
  <c r="AB21" i="1"/>
  <c r="AB25" i="1" s="1"/>
  <c r="AC21" i="1"/>
  <c r="AC25" i="1" s="1"/>
  <c r="B21" i="1"/>
  <c r="B25" i="1" s="1"/>
  <c r="C24" i="1"/>
  <c r="C28" i="1" s="1"/>
  <c r="D24" i="1"/>
  <c r="D28" i="1" s="1"/>
  <c r="E24" i="1"/>
  <c r="E28" i="1" s="1"/>
  <c r="F24" i="1"/>
  <c r="F28" i="1" s="1"/>
  <c r="G24" i="1"/>
  <c r="H24" i="1"/>
  <c r="H28" i="1" s="1"/>
  <c r="I24" i="1"/>
  <c r="I28" i="1" s="1"/>
  <c r="J24" i="1"/>
  <c r="J28" i="1" s="1"/>
  <c r="K24" i="1"/>
  <c r="K28" i="1" s="1"/>
  <c r="L24" i="1"/>
  <c r="L28" i="1" s="1"/>
  <c r="M24" i="1"/>
  <c r="M28" i="1" s="1"/>
  <c r="N24" i="1"/>
  <c r="N28" i="1" s="1"/>
  <c r="O24" i="1"/>
  <c r="O28" i="1" s="1"/>
  <c r="P24" i="1"/>
  <c r="P28" i="1" s="1"/>
  <c r="Q24" i="1"/>
  <c r="Q28" i="1" s="1"/>
  <c r="R24" i="1"/>
  <c r="R28" i="1" s="1"/>
  <c r="S24" i="1"/>
  <c r="S28" i="1" s="1"/>
  <c r="T24" i="1"/>
  <c r="T28" i="1" s="1"/>
  <c r="U24" i="1"/>
  <c r="U28" i="1" s="1"/>
  <c r="V24" i="1"/>
  <c r="V28" i="1" s="1"/>
  <c r="W24" i="1"/>
  <c r="W28" i="1" s="1"/>
  <c r="X24" i="1"/>
  <c r="X28" i="1" s="1"/>
  <c r="Y24" i="1"/>
  <c r="Y28" i="1" s="1"/>
  <c r="Z24" i="1"/>
  <c r="Z28" i="1" s="1"/>
  <c r="AA24" i="1"/>
  <c r="AA28" i="1" s="1"/>
  <c r="AB24" i="1"/>
  <c r="AB28" i="1" s="1"/>
  <c r="AC24" i="1"/>
  <c r="AC28" i="1" s="1"/>
  <c r="B24" i="1"/>
  <c r="B28" i="1" s="1"/>
  <c r="C23" i="1"/>
  <c r="C27" i="1" s="1"/>
  <c r="D23" i="1"/>
  <c r="D27" i="1" s="1"/>
  <c r="E23" i="1"/>
  <c r="E27" i="1" s="1"/>
  <c r="F23" i="1"/>
  <c r="F27" i="1" s="1"/>
  <c r="G23" i="1"/>
  <c r="H23" i="1"/>
  <c r="H27" i="1" s="1"/>
  <c r="I23" i="1"/>
  <c r="I27" i="1" s="1"/>
  <c r="J23" i="1"/>
  <c r="J27" i="1" s="1"/>
  <c r="K23" i="1"/>
  <c r="K27" i="1" s="1"/>
  <c r="L23" i="1"/>
  <c r="L27" i="1" s="1"/>
  <c r="M23" i="1"/>
  <c r="M27" i="1" s="1"/>
  <c r="N23" i="1"/>
  <c r="N27" i="1" s="1"/>
  <c r="O23" i="1"/>
  <c r="O27" i="1" s="1"/>
  <c r="P23" i="1"/>
  <c r="P27" i="1" s="1"/>
  <c r="Q23" i="1"/>
  <c r="Q27" i="1" s="1"/>
  <c r="R23" i="1"/>
  <c r="R27" i="1" s="1"/>
  <c r="S23" i="1"/>
  <c r="S27" i="1" s="1"/>
  <c r="T23" i="1"/>
  <c r="T27" i="1" s="1"/>
  <c r="U23" i="1"/>
  <c r="U27" i="1" s="1"/>
  <c r="V23" i="1"/>
  <c r="V27" i="1" s="1"/>
  <c r="W23" i="1"/>
  <c r="W27" i="1" s="1"/>
  <c r="X23" i="1"/>
  <c r="X27" i="1" s="1"/>
  <c r="Y23" i="1"/>
  <c r="Y27" i="1" s="1"/>
  <c r="Z23" i="1"/>
  <c r="Z27" i="1" s="1"/>
  <c r="AA23" i="1"/>
  <c r="AA27" i="1" s="1"/>
  <c r="AB23" i="1"/>
  <c r="AB27" i="1" s="1"/>
  <c r="AC23" i="1"/>
  <c r="AC27" i="1" s="1"/>
  <c r="AD23" i="1"/>
  <c r="C22" i="1"/>
  <c r="C26" i="1" s="1"/>
  <c r="D22" i="1"/>
  <c r="D26" i="1" s="1"/>
  <c r="E22" i="1"/>
  <c r="E26" i="1" s="1"/>
  <c r="F22" i="1"/>
  <c r="F26" i="1" s="1"/>
  <c r="G22" i="1"/>
  <c r="H22" i="1"/>
  <c r="H26" i="1" s="1"/>
  <c r="I22" i="1"/>
  <c r="I26" i="1" s="1"/>
  <c r="J22" i="1"/>
  <c r="J26" i="1" s="1"/>
  <c r="K22" i="1"/>
  <c r="K26" i="1" s="1"/>
  <c r="L22" i="1"/>
  <c r="L26" i="1" s="1"/>
  <c r="M22" i="1"/>
  <c r="M26" i="1" s="1"/>
  <c r="N22" i="1"/>
  <c r="N26" i="1" s="1"/>
  <c r="O22" i="1"/>
  <c r="O26" i="1" s="1"/>
  <c r="P22" i="1"/>
  <c r="P26" i="1" s="1"/>
  <c r="Q22" i="1"/>
  <c r="Q26" i="1" s="1"/>
  <c r="R22" i="1"/>
  <c r="R26" i="1" s="1"/>
  <c r="S22" i="1"/>
  <c r="S26" i="1" s="1"/>
  <c r="T22" i="1"/>
  <c r="T26" i="1" s="1"/>
  <c r="U22" i="1"/>
  <c r="U26" i="1" s="1"/>
  <c r="V22" i="1"/>
  <c r="V26" i="1" s="1"/>
  <c r="W22" i="1"/>
  <c r="W26" i="1" s="1"/>
  <c r="X22" i="1"/>
  <c r="X26" i="1" s="1"/>
  <c r="Y22" i="1"/>
  <c r="Y26" i="1" s="1"/>
  <c r="Z22" i="1"/>
  <c r="Z26" i="1" s="1"/>
  <c r="AA22" i="1"/>
  <c r="AA26" i="1" s="1"/>
  <c r="AB22" i="1"/>
  <c r="AB26" i="1" s="1"/>
  <c r="AC22" i="1"/>
  <c r="AC26" i="1" s="1"/>
  <c r="AD22" i="1"/>
  <c r="B22" i="1"/>
  <c r="B26" i="1" s="1"/>
  <c r="B23" i="1"/>
  <c r="B27" i="1" s="1"/>
  <c r="AD21" i="1"/>
  <c r="Q37" i="1"/>
  <c r="Q36" i="1"/>
  <c r="G26" i="1" l="1"/>
  <c r="AD26" i="1"/>
  <c r="AD27" i="1"/>
  <c r="G27" i="1"/>
  <c r="AD25" i="1"/>
  <c r="G25" i="1"/>
  <c r="AD28" i="1"/>
  <c r="G28" i="1"/>
  <c r="AC8" i="1"/>
</calcChain>
</file>

<file path=xl/sharedStrings.xml><?xml version="1.0" encoding="utf-8"?>
<sst xmlns="http://schemas.openxmlformats.org/spreadsheetml/2006/main" count="71" uniqueCount="69">
  <si>
    <t>PHIẾU THEO DÕI BỆNH NHÂN DINH DƯỠNG</t>
  </si>
  <si>
    <t>CHẨN ĐOÁN:</t>
  </si>
  <si>
    <r>
      <t>E</t>
    </r>
    <r>
      <rPr>
        <i/>
        <sz val="11"/>
        <color theme="1"/>
        <rFont val="Calibri"/>
        <family val="2"/>
        <scheme val="minor"/>
      </rPr>
      <t xml:space="preserve"> (Kcal)</t>
    </r>
  </si>
  <si>
    <t>CN</t>
  </si>
  <si>
    <t>CD</t>
  </si>
  <si>
    <t>VĐ</t>
  </si>
  <si>
    <t>NGÀY TUỔI</t>
  </si>
  <si>
    <t>ĐẶC ĐIỂM DINH DƯỠNG</t>
  </si>
  <si>
    <t>Loại sữa</t>
  </si>
  <si>
    <t>stt</t>
  </si>
  <si>
    <t>Protein
(g/1000ml)</t>
  </si>
  <si>
    <t>Lipid
(g/1000ml)</t>
  </si>
  <si>
    <t xml:space="preserve">Glucose 
(g/1000ml) </t>
  </si>
  <si>
    <t>sữa mẹ</t>
  </si>
  <si>
    <t>Tốc độ tăng trưởng</t>
  </si>
  <si>
    <t>năng lượng(kcal)</t>
  </si>
  <si>
    <t>pregestimil</t>
  </si>
  <si>
    <t>Tổng Glucose</t>
  </si>
  <si>
    <t>Tổng protein</t>
  </si>
  <si>
    <t>Tổng lipid</t>
  </si>
  <si>
    <t>ĐƯỜNG 30 (ml)</t>
  </si>
  <si>
    <t>Đương 10% (ml)</t>
  </si>
  <si>
    <t>Đương 5% (ml)</t>
  </si>
  <si>
    <t>LIPID/DT (ml)</t>
  </si>
  <si>
    <t>ĐẠM/DT (ml)</t>
  </si>
  <si>
    <t>Nhập tháng trước,ngày sau</t>
  </si>
  <si>
    <r>
      <t>Ngày tuổi</t>
    </r>
    <r>
      <rPr>
        <sz val="11"/>
        <color rgb="FFFF0000"/>
        <rFont val="Calibri"/>
        <family val="2"/>
        <scheme val="minor"/>
      </rPr>
      <t xml:space="preserve"> xv</t>
    </r>
    <r>
      <rPr>
        <sz val="11"/>
        <color theme="1"/>
        <rFont val="Calibri"/>
        <family val="2"/>
        <scheme val="minor"/>
      </rPr>
      <t>/tv:</t>
    </r>
  </si>
  <si>
    <t>neocate</t>
  </si>
  <si>
    <t>HMF(1g/gói</t>
  </si>
  <si>
    <t>HMF (1g/1 gói)</t>
  </si>
  <si>
    <t>neocate (ml)</t>
  </si>
  <si>
    <t>pregestimil (ml)</t>
  </si>
  <si>
    <t>sữa mẹ (ml)</t>
  </si>
  <si>
    <t>Dịch tuyền (ml/giờ)</t>
  </si>
  <si>
    <t>Thuốc (ml/g)</t>
  </si>
  <si>
    <t xml:space="preserve"> Ngày đạt CNLS: </t>
  </si>
  <si>
    <t>năng lượng/kg</t>
  </si>
  <si>
    <t>protein/kg</t>
  </si>
  <si>
    <t>Glucose/kg</t>
  </si>
  <si>
    <t>Lipid/kg</t>
  </si>
  <si>
    <t>GIỚI: NỮ</t>
  </si>
  <si>
    <t>sữa/kg</t>
  </si>
  <si>
    <t>ngày đạt cnls</t>
  </si>
  <si>
    <t>giới tính (nam 0, nữ 1)</t>
  </si>
  <si>
    <t>tuổi thai (tuần vd: 33.4)</t>
  </si>
  <si>
    <t>cnls (gam)</t>
  </si>
  <si>
    <t>sụt cân sau sinh (%CNLS)</t>
  </si>
  <si>
    <t>steroid trước sinh (0 Không1 Không đủ2 Đủ)</t>
  </si>
  <si>
    <t>BMT(0,1,2,3,4)</t>
  </si>
  <si>
    <t>bơm surfactant(0 không, 1 có)</t>
  </si>
  <si>
    <t>NTH sớm (1/0)</t>
  </si>
  <si>
    <t>NTH muộn (1/0)</t>
  </si>
  <si>
    <t>VRHT (0. Không
1. IA, 2. IB
3. IIA,4 IIB
5. IIIA, 6 iiiB)</t>
  </si>
  <si>
    <t>thiếu máu 1/0</t>
  </si>
  <si>
    <t>PDA ảnh hưởng huyết đông (1/0)</t>
  </si>
  <si>
    <t>xuất huyết 0 không, 1 não, 2 phổi</t>
  </si>
  <si>
    <t>BPD (0. Không1. Nhẹ 2. Trung bình3. Nặng4. Chưa xác định)</t>
  </si>
  <si>
    <t>nhiễm nấm huyết</t>
  </si>
  <si>
    <t>thời gian thở máy (ngày)</t>
  </si>
  <si>
    <t>kết cục(1 36w; 2 tv, 3 xk)</t>
  </si>
  <si>
    <t>36w PMA/XK/TV</t>
  </si>
  <si>
    <t>CNLS: 1300</t>
  </si>
  <si>
    <t>SNV: 79408220099891/12200086842</t>
  </si>
  <si>
    <t>NGÀY SINH: 08/12/2022</t>
  </si>
  <si>
    <t>HỌ TÊN: CB ĐIỂU THỊ BA RAI</t>
  </si>
  <si>
    <t>đạm sữa</t>
  </si>
  <si>
    <t>đường sữa</t>
  </si>
  <si>
    <t>lipid sữa</t>
  </si>
  <si>
    <t>năng lượng sữa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</si>
</sst>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mm/dd/yyyy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7" xfId="0" applyFont="1" applyBorder="1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9" xfId="0" applyFont="1" applyBorder="1"/>
    <xf numFmtId="0" fontId="1" fillId="0" borderId="1" xfId="0" applyFont="1" applyBorder="1"/>
    <xf numFmtId="0" fontId="3" fillId="0" borderId="1" xfId="0" applyFont="1" applyBorder="1"/>
    <xf numFmtId="0" fontId="0" fillId="2" borderId="1" xfId="0" applyFill="1" applyBorder="1"/>
    <xf numFmtId="0" fontId="0" fillId="0" borderId="6" xfId="0" applyBorder="1"/>
    <xf numFmtId="0" fontId="0" fillId="0" borderId="8" xfId="0" applyBorder="1"/>
    <xf numFmtId="2" fontId="0" fillId="0" borderId="1" xfId="0" applyNumberFormat="1" applyBorder="1"/>
    <xf numFmtId="2" fontId="0" fillId="2" borderId="1" xfId="0" applyNumberFormat="1" applyFill="1" applyBorder="1"/>
    <xf numFmtId="2" fontId="0" fillId="0" borderId="0" xfId="0" applyNumberFormat="1"/>
    <xf numFmtId="2" fontId="0" fillId="2" borderId="8" xfId="0" applyNumberFormat="1" applyFill="1" applyBorder="1"/>
    <xf numFmtId="0" fontId="6" fillId="4" borderId="1" xfId="0" applyFont="1" applyFill="1" applyBorder="1"/>
    <xf numFmtId="164" fontId="5" fillId="4" borderId="1" xfId="0" applyNumberFormat="1" applyFont="1" applyFill="1" applyBorder="1" applyAlignment="1">
      <alignment horizontal="center"/>
    </xf>
    <xf numFmtId="0" fontId="0" fillId="2" borderId="0" xfId="0" applyFill="1"/>
    <xf numFmtId="0" fontId="1" fillId="0" borderId="10" xfId="0" applyFont="1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2" fontId="6" fillId="2" borderId="8" xfId="0" applyNumberFormat="1" applyFont="1" applyFill="1" applyBorder="1"/>
    <xf numFmtId="2" fontId="0" fillId="0" borderId="7" xfId="0" applyNumberFormat="1" applyBorder="1"/>
    <xf numFmtId="0" fontId="0" fillId="5" borderId="0" xfId="0" applyFill="1"/>
    <xf numFmtId="165" fontId="0" fillId="5" borderId="0" xfId="0" applyNumberFormat="1" applyFill="1"/>
    <xf numFmtId="0" fontId="0" fillId="0" borderId="7" xfId="0" applyBorder="1"/>
    <xf numFmtId="2" fontId="6" fillId="2" borderId="7" xfId="0" applyNumberFormat="1" applyFont="1" applyFill="1" applyBorder="1"/>
    <xf numFmtId="2" fontId="0" fillId="6" borderId="1" xfId="0" applyNumberFormat="1" applyFill="1" applyBorder="1"/>
    <xf numFmtId="2" fontId="0" fillId="0" borderId="0" xfId="0" applyNumberFormat="1" applyAlignment="1">
      <alignment wrapText="1"/>
    </xf>
    <xf numFmtId="0" fontId="4" fillId="3" borderId="5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0" fontId="1" fillId="0" borderId="5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44"/>
  <sheetViews>
    <sheetView tabSelected="1" zoomScale="55" zoomScaleNormal="55" workbookViewId="0">
      <pane xSplit="1" ySplit="4" topLeftCell="B18" activePane="bottomRight" state="frozen"/>
      <selection pane="topRight" activeCell="B1" sqref="B1"/>
      <selection pane="bottomLeft" activeCell="A5" sqref="A5"/>
      <selection pane="bottomRight" activeCell="AB29" sqref="AB29:AC29"/>
    </sheetView>
  </sheetViews>
  <sheetFormatPr defaultRowHeight="14.5" x14ac:dyDescent="0.35"/>
  <cols>
    <col min="1" max="1" width="17.1796875" customWidth="1"/>
    <col min="15" max="15" width="13.1796875" customWidth="1"/>
    <col min="16" max="16" width="12.7265625" customWidth="1"/>
    <col min="30" max="30" width="14.453125" customWidth="1"/>
  </cols>
  <sheetData>
    <row r="1" spans="1:30" ht="21" x14ac:dyDescent="0.5">
      <c r="A1" s="33" t="s">
        <v>0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  <c r="V1" s="34"/>
      <c r="W1" s="34"/>
      <c r="X1" s="34"/>
      <c r="Y1" s="34"/>
      <c r="Z1" s="34"/>
      <c r="AA1" s="34"/>
      <c r="AB1" s="34"/>
      <c r="AC1" s="34"/>
      <c r="AD1" s="34"/>
    </row>
    <row r="2" spans="1:30" x14ac:dyDescent="0.35">
      <c r="A2" s="40" t="s">
        <v>64</v>
      </c>
      <c r="B2" s="41"/>
      <c r="C2" s="41"/>
      <c r="D2" s="41"/>
      <c r="E2" s="41"/>
      <c r="F2" s="41"/>
      <c r="G2" s="42"/>
      <c r="H2" s="43" t="s">
        <v>61</v>
      </c>
      <c r="I2" s="44"/>
      <c r="J2" s="40" t="s">
        <v>62</v>
      </c>
      <c r="K2" s="42"/>
      <c r="L2" s="1" t="s">
        <v>40</v>
      </c>
      <c r="M2" s="45" t="s">
        <v>63</v>
      </c>
      <c r="N2" s="45"/>
      <c r="O2" s="45"/>
      <c r="P2" s="46" t="s">
        <v>35</v>
      </c>
      <c r="Q2" s="46"/>
      <c r="R2" s="2">
        <v>1</v>
      </c>
      <c r="S2" s="14"/>
      <c r="T2" s="47" t="s">
        <v>26</v>
      </c>
      <c r="U2" s="47"/>
      <c r="V2" s="2">
        <v>34</v>
      </c>
    </row>
    <row r="3" spans="1:30" x14ac:dyDescent="0.35">
      <c r="A3" s="6" t="s">
        <v>1</v>
      </c>
      <c r="B3" s="35"/>
      <c r="C3" s="36"/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6"/>
      <c r="X3" s="36"/>
      <c r="Y3" s="36"/>
      <c r="Z3" s="36"/>
      <c r="AA3" s="36"/>
      <c r="AB3" s="36"/>
      <c r="AC3" s="36"/>
      <c r="AD3" s="36"/>
    </row>
    <row r="4" spans="1:30" x14ac:dyDescent="0.35">
      <c r="A4" s="7" t="s">
        <v>6</v>
      </c>
      <c r="B4" s="5">
        <v>1</v>
      </c>
      <c r="C4" s="5">
        <v>2</v>
      </c>
      <c r="D4" s="5">
        <v>3</v>
      </c>
      <c r="E4" s="5">
        <v>4</v>
      </c>
      <c r="F4" s="5">
        <v>5</v>
      </c>
      <c r="G4" s="5">
        <v>6</v>
      </c>
      <c r="H4" s="5">
        <v>7</v>
      </c>
      <c r="I4" s="5">
        <v>8</v>
      </c>
      <c r="J4" s="5">
        <v>9</v>
      </c>
      <c r="K4" s="5">
        <v>10</v>
      </c>
      <c r="L4" s="5">
        <v>11</v>
      </c>
      <c r="M4" s="5">
        <v>12</v>
      </c>
      <c r="N4" s="5">
        <v>13</v>
      </c>
      <c r="O4" s="5">
        <v>14</v>
      </c>
      <c r="P4" s="5">
        <v>15</v>
      </c>
      <c r="Q4" s="5">
        <v>16</v>
      </c>
      <c r="R4" s="5">
        <v>17</v>
      </c>
      <c r="S4" s="5">
        <v>18</v>
      </c>
      <c r="T4" s="5">
        <v>19</v>
      </c>
      <c r="U4" s="5">
        <v>20</v>
      </c>
      <c r="V4" s="5">
        <v>21</v>
      </c>
      <c r="W4" s="5">
        <v>22</v>
      </c>
      <c r="X4" s="5">
        <v>23</v>
      </c>
      <c r="Y4" s="5">
        <v>24</v>
      </c>
      <c r="Z4" s="5">
        <v>25</v>
      </c>
      <c r="AA4" s="5">
        <v>26</v>
      </c>
      <c r="AB4" s="5">
        <v>27</v>
      </c>
      <c r="AC4" s="5">
        <v>28</v>
      </c>
      <c r="AD4" s="5" t="s">
        <v>60</v>
      </c>
    </row>
    <row r="5" spans="1:30" x14ac:dyDescent="0.35">
      <c r="A5" s="2" t="s">
        <v>3</v>
      </c>
      <c r="B5" s="12">
        <v>1300</v>
      </c>
      <c r="C5" s="12"/>
      <c r="D5" s="12"/>
      <c r="E5" s="12"/>
      <c r="F5" s="12"/>
      <c r="G5" s="12">
        <v>0</v>
      </c>
      <c r="H5" s="12">
        <v>1400</v>
      </c>
      <c r="I5" s="12">
        <v>0</v>
      </c>
      <c r="J5" s="12"/>
      <c r="K5" s="12"/>
      <c r="L5" s="12"/>
      <c r="M5" s="12"/>
      <c r="N5" s="12"/>
      <c r="O5" s="12">
        <v>1400</v>
      </c>
      <c r="P5" s="12"/>
      <c r="Q5" s="12"/>
      <c r="R5" s="12"/>
      <c r="S5" s="12"/>
      <c r="T5" s="12"/>
      <c r="U5" s="12"/>
      <c r="V5" s="12">
        <v>1420</v>
      </c>
      <c r="W5" s="12"/>
      <c r="X5" s="12"/>
      <c r="Y5" s="12"/>
      <c r="Z5" s="12"/>
      <c r="AA5" s="12"/>
      <c r="AB5" s="12"/>
      <c r="AC5" s="12">
        <v>1500</v>
      </c>
      <c r="AD5" s="12">
        <v>1600</v>
      </c>
    </row>
    <row r="6" spans="1:30" x14ac:dyDescent="0.35">
      <c r="A6" s="2" t="s">
        <v>4</v>
      </c>
      <c r="B6" s="12">
        <v>36</v>
      </c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>
        <v>37</v>
      </c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>
        <v>40</v>
      </c>
      <c r="AD6" s="12">
        <v>41</v>
      </c>
    </row>
    <row r="7" spans="1:30" x14ac:dyDescent="0.35">
      <c r="A7" s="2" t="s">
        <v>5</v>
      </c>
      <c r="B7" s="12">
        <v>26.5</v>
      </c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>
        <v>27</v>
      </c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>
        <v>28</v>
      </c>
      <c r="AD7" s="12">
        <v>28</v>
      </c>
    </row>
    <row r="8" spans="1:30" x14ac:dyDescent="0.35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17">
        <f>1000*(O5-B5)/((14-1)*(O5+B5)/2)</f>
        <v>5.6980056980056979</v>
      </c>
      <c r="P8" s="18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16">
        <f>1000*(AC5-O5)/((28-14)*(AC5+O5)/2)</f>
        <v>4.9261083743842367</v>
      </c>
      <c r="AD8" s="16">
        <f>1000*(AD5-AC5)/((V2-28)*(AD5+AC5)/2)</f>
        <v>10.75268817204301</v>
      </c>
    </row>
    <row r="9" spans="1:30" x14ac:dyDescent="0.35">
      <c r="A9" s="37" t="s">
        <v>7</v>
      </c>
      <c r="B9" s="38"/>
      <c r="C9" s="38"/>
      <c r="D9" s="38"/>
      <c r="E9" s="38"/>
      <c r="F9" s="38"/>
      <c r="G9" s="38"/>
      <c r="H9" s="38"/>
      <c r="I9" s="38"/>
      <c r="J9" s="38"/>
      <c r="K9" s="38"/>
      <c r="L9" s="38"/>
      <c r="M9" s="38"/>
      <c r="N9" s="38"/>
      <c r="O9" s="38"/>
      <c r="P9" s="38"/>
      <c r="Q9" s="38"/>
      <c r="R9" s="38"/>
      <c r="S9" s="38"/>
      <c r="T9" s="38"/>
      <c r="U9" s="38"/>
      <c r="V9" s="38"/>
      <c r="W9" s="38"/>
      <c r="X9" s="38"/>
      <c r="Y9" s="38"/>
      <c r="Z9" s="38"/>
      <c r="AA9" s="38"/>
      <c r="AB9" s="38"/>
      <c r="AC9" s="38"/>
      <c r="AD9" s="39"/>
    </row>
    <row r="10" spans="1:30" x14ac:dyDescent="0.35">
      <c r="A10" s="8" t="s">
        <v>33</v>
      </c>
      <c r="B10" s="12">
        <v>0</v>
      </c>
      <c r="C10" s="12">
        <v>4</v>
      </c>
      <c r="D10" s="12">
        <v>3</v>
      </c>
      <c r="E10" s="12">
        <v>3.5</v>
      </c>
      <c r="F10" s="12">
        <v>3.5</v>
      </c>
      <c r="G10" s="12">
        <v>4</v>
      </c>
      <c r="H10" s="12">
        <v>2.5</v>
      </c>
      <c r="I10" s="12">
        <v>6</v>
      </c>
      <c r="J10" s="12">
        <v>6.5</v>
      </c>
      <c r="K10" s="12">
        <v>6.5</v>
      </c>
      <c r="L10" s="12">
        <v>8.5</v>
      </c>
      <c r="M10" s="12">
        <v>8.5</v>
      </c>
      <c r="N10" s="12">
        <v>8.5</v>
      </c>
      <c r="O10" s="12">
        <v>8.5</v>
      </c>
      <c r="P10" s="12">
        <v>7</v>
      </c>
      <c r="Q10" s="12">
        <v>7</v>
      </c>
      <c r="R10" s="12">
        <v>7.5</v>
      </c>
      <c r="S10" s="12">
        <v>7</v>
      </c>
      <c r="T10" s="12">
        <v>5</v>
      </c>
      <c r="U10" s="12">
        <v>4</v>
      </c>
      <c r="V10" s="12">
        <v>2</v>
      </c>
      <c r="W10" s="12">
        <v>7</v>
      </c>
      <c r="X10" s="12">
        <v>7</v>
      </c>
      <c r="Y10" s="12">
        <v>6.5</v>
      </c>
      <c r="Z10" s="12">
        <v>6.5</v>
      </c>
      <c r="AA10" s="12">
        <v>6</v>
      </c>
      <c r="AB10" s="12">
        <v>5</v>
      </c>
      <c r="AC10" s="12">
        <v>3.5</v>
      </c>
      <c r="AD10" s="12"/>
    </row>
    <row r="11" spans="1:30" x14ac:dyDescent="0.35">
      <c r="A11" s="8" t="s">
        <v>34</v>
      </c>
      <c r="B11" s="12"/>
      <c r="C11" s="12"/>
      <c r="D11" s="12">
        <v>18</v>
      </c>
      <c r="E11" s="12">
        <v>18</v>
      </c>
      <c r="F11" s="12">
        <v>18</v>
      </c>
      <c r="G11" s="12">
        <v>18</v>
      </c>
      <c r="H11" s="12">
        <v>12</v>
      </c>
      <c r="I11" s="12">
        <v>12</v>
      </c>
      <c r="J11" s="12">
        <v>8</v>
      </c>
      <c r="K11" s="12">
        <v>8</v>
      </c>
      <c r="L11" s="12">
        <v>8</v>
      </c>
      <c r="M11" s="12">
        <v>8</v>
      </c>
      <c r="N11" s="12">
        <v>8</v>
      </c>
      <c r="O11" s="12">
        <v>8</v>
      </c>
      <c r="P11" s="12">
        <v>8</v>
      </c>
      <c r="Q11" s="12">
        <v>8</v>
      </c>
      <c r="R11" s="12">
        <v>8</v>
      </c>
      <c r="S11" s="12">
        <v>8</v>
      </c>
      <c r="T11" s="12">
        <v>0</v>
      </c>
      <c r="U11" s="12">
        <v>0</v>
      </c>
      <c r="V11" s="12">
        <v>0</v>
      </c>
      <c r="W11" s="12">
        <v>21</v>
      </c>
      <c r="X11" s="12">
        <v>21</v>
      </c>
      <c r="Y11" s="12">
        <v>21</v>
      </c>
      <c r="Z11" s="12">
        <v>21</v>
      </c>
      <c r="AA11" s="12">
        <v>27</v>
      </c>
      <c r="AB11" s="12">
        <v>27</v>
      </c>
      <c r="AC11" s="12">
        <v>27</v>
      </c>
      <c r="AD11" s="12"/>
    </row>
    <row r="12" spans="1:30" x14ac:dyDescent="0.35">
      <c r="A12" s="2" t="s">
        <v>24</v>
      </c>
      <c r="B12" s="12">
        <v>0</v>
      </c>
      <c r="C12" s="12">
        <v>0</v>
      </c>
      <c r="D12" s="12">
        <v>30</v>
      </c>
      <c r="E12" s="24">
        <v>45</v>
      </c>
      <c r="F12" s="12">
        <v>45</v>
      </c>
      <c r="G12" s="12">
        <v>60</v>
      </c>
      <c r="H12" s="12">
        <v>70</v>
      </c>
      <c r="I12" s="12">
        <v>70</v>
      </c>
      <c r="J12" s="12">
        <v>70</v>
      </c>
      <c r="K12" s="12">
        <v>70</v>
      </c>
      <c r="L12" s="12">
        <v>85</v>
      </c>
      <c r="M12" s="12">
        <v>90</v>
      </c>
      <c r="N12" s="12">
        <v>90</v>
      </c>
      <c r="O12" s="12">
        <v>90</v>
      </c>
      <c r="P12" s="12">
        <v>80</v>
      </c>
      <c r="Q12" s="12">
        <v>80</v>
      </c>
      <c r="R12" s="12">
        <v>80</v>
      </c>
      <c r="S12" s="12">
        <v>80</v>
      </c>
      <c r="T12" s="12">
        <v>60</v>
      </c>
      <c r="U12" s="12">
        <v>60</v>
      </c>
      <c r="V12" s="12">
        <v>50</v>
      </c>
      <c r="W12" s="12">
        <v>70</v>
      </c>
      <c r="X12" s="12">
        <v>70</v>
      </c>
      <c r="Y12" s="12">
        <v>70</v>
      </c>
      <c r="Z12" s="12">
        <v>70</v>
      </c>
      <c r="AA12" s="12">
        <v>65</v>
      </c>
      <c r="AB12" s="12">
        <v>60</v>
      </c>
      <c r="AC12" s="12">
        <v>0</v>
      </c>
      <c r="AD12" s="12"/>
    </row>
    <row r="13" spans="1:30" x14ac:dyDescent="0.35">
      <c r="A13" s="2" t="s">
        <v>22</v>
      </c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</row>
    <row r="14" spans="1:30" x14ac:dyDescent="0.35">
      <c r="A14" s="2" t="s">
        <v>21</v>
      </c>
      <c r="B14" s="12">
        <v>0</v>
      </c>
      <c r="C14" s="12">
        <v>90</v>
      </c>
      <c r="D14" s="12">
        <v>15</v>
      </c>
      <c r="E14" s="12">
        <v>0</v>
      </c>
      <c r="F14" s="12">
        <v>0</v>
      </c>
      <c r="G14" s="12">
        <v>0</v>
      </c>
      <c r="H14" s="12">
        <v>0</v>
      </c>
      <c r="I14" s="12">
        <v>20</v>
      </c>
      <c r="J14" s="12">
        <v>30</v>
      </c>
      <c r="K14" s="12">
        <v>30</v>
      </c>
      <c r="L14" s="12">
        <v>65</v>
      </c>
      <c r="M14" s="12">
        <v>65</v>
      </c>
      <c r="N14" s="12">
        <v>65</v>
      </c>
      <c r="O14" s="12">
        <v>65</v>
      </c>
      <c r="P14" s="12">
        <v>30</v>
      </c>
      <c r="Q14" s="12">
        <v>30</v>
      </c>
      <c r="R14" s="12">
        <v>50</v>
      </c>
      <c r="S14" s="12">
        <v>50</v>
      </c>
      <c r="T14" s="12">
        <v>0</v>
      </c>
      <c r="U14" s="12">
        <v>0</v>
      </c>
      <c r="V14" s="12">
        <v>10</v>
      </c>
      <c r="W14" s="12">
        <v>45</v>
      </c>
      <c r="X14" s="12">
        <v>30</v>
      </c>
      <c r="Y14" s="12">
        <v>10</v>
      </c>
      <c r="Z14" s="12">
        <v>30</v>
      </c>
      <c r="AA14" s="12">
        <v>30</v>
      </c>
      <c r="AB14" s="12">
        <v>10</v>
      </c>
      <c r="AC14" s="12">
        <v>15</v>
      </c>
      <c r="AD14" s="12"/>
    </row>
    <row r="15" spans="1:30" x14ac:dyDescent="0.35">
      <c r="A15" s="2" t="s">
        <v>20</v>
      </c>
      <c r="B15" s="12">
        <v>0</v>
      </c>
      <c r="C15" s="12">
        <v>0</v>
      </c>
      <c r="D15" s="12">
        <v>25</v>
      </c>
      <c r="E15" s="12">
        <v>28</v>
      </c>
      <c r="F15" s="12">
        <v>28</v>
      </c>
      <c r="G15" s="12">
        <v>40</v>
      </c>
      <c r="H15" s="12">
        <v>50</v>
      </c>
      <c r="I15" s="12">
        <v>50</v>
      </c>
      <c r="J15" s="12">
        <v>50</v>
      </c>
      <c r="K15" s="12">
        <v>50</v>
      </c>
      <c r="L15" s="12">
        <v>45</v>
      </c>
      <c r="M15" s="12">
        <v>50</v>
      </c>
      <c r="N15" s="12">
        <v>40</v>
      </c>
      <c r="O15" s="12">
        <v>40</v>
      </c>
      <c r="P15" s="12">
        <v>40</v>
      </c>
      <c r="Q15" s="12">
        <v>40</v>
      </c>
      <c r="R15" s="12">
        <v>40</v>
      </c>
      <c r="S15" s="12">
        <v>40</v>
      </c>
      <c r="T15" s="12">
        <v>40</v>
      </c>
      <c r="U15" s="12">
        <v>40</v>
      </c>
      <c r="V15" s="12">
        <v>30</v>
      </c>
      <c r="W15" s="12">
        <v>50</v>
      </c>
      <c r="X15" s="12">
        <v>50</v>
      </c>
      <c r="Y15" s="12">
        <v>50</v>
      </c>
      <c r="Z15" s="12">
        <v>50</v>
      </c>
      <c r="AA15" s="12">
        <v>50</v>
      </c>
      <c r="AB15" s="12">
        <v>45</v>
      </c>
      <c r="AC15" s="12">
        <v>30</v>
      </c>
      <c r="AD15" s="12"/>
    </row>
    <row r="16" spans="1:30" ht="14.5" customHeight="1" x14ac:dyDescent="0.35">
      <c r="A16" s="2" t="s">
        <v>23</v>
      </c>
      <c r="B16" s="12">
        <v>0</v>
      </c>
      <c r="C16" s="12">
        <v>0</v>
      </c>
      <c r="D16" s="12">
        <v>12</v>
      </c>
      <c r="E16" s="12">
        <v>15</v>
      </c>
      <c r="F16" s="12">
        <v>15</v>
      </c>
      <c r="G16" s="12">
        <v>15</v>
      </c>
      <c r="H16" s="12">
        <v>10</v>
      </c>
      <c r="I16" s="12">
        <v>10</v>
      </c>
      <c r="J16" s="12">
        <v>10</v>
      </c>
      <c r="K16" s="12">
        <v>10</v>
      </c>
      <c r="L16" s="12">
        <v>20</v>
      </c>
      <c r="M16" s="12">
        <v>20</v>
      </c>
      <c r="N16" s="12">
        <v>20</v>
      </c>
      <c r="O16" s="12">
        <v>20</v>
      </c>
      <c r="P16" s="12">
        <v>20</v>
      </c>
      <c r="Q16" s="12">
        <v>20</v>
      </c>
      <c r="R16" s="12">
        <v>20</v>
      </c>
      <c r="S16" s="12">
        <v>20</v>
      </c>
      <c r="T16" s="12">
        <v>20</v>
      </c>
      <c r="U16" s="12">
        <v>15</v>
      </c>
      <c r="V16" s="12">
        <v>15</v>
      </c>
      <c r="W16" s="12">
        <v>20</v>
      </c>
      <c r="X16" s="12">
        <v>20</v>
      </c>
      <c r="Y16" s="12">
        <v>20</v>
      </c>
      <c r="Z16" s="12">
        <v>20</v>
      </c>
      <c r="AA16" s="12">
        <v>20</v>
      </c>
      <c r="AB16" s="12">
        <v>20</v>
      </c>
      <c r="AC16" s="12">
        <v>12</v>
      </c>
      <c r="AD16" s="12"/>
    </row>
    <row r="17" spans="1:31" ht="14.5" customHeight="1" x14ac:dyDescent="0.35">
      <c r="A17" s="2" t="s">
        <v>29</v>
      </c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</row>
    <row r="18" spans="1:31" x14ac:dyDescent="0.35">
      <c r="A18" s="2" t="s">
        <v>30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</row>
    <row r="19" spans="1:31" x14ac:dyDescent="0.35">
      <c r="A19" s="2" t="s">
        <v>31</v>
      </c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>
        <v>96</v>
      </c>
      <c r="W19" s="12">
        <v>0</v>
      </c>
      <c r="X19" s="12">
        <v>21</v>
      </c>
      <c r="Y19" s="12">
        <v>32</v>
      </c>
      <c r="Z19" s="12">
        <v>40</v>
      </c>
      <c r="AA19" s="12">
        <v>56</v>
      </c>
      <c r="AB19" s="12">
        <v>40</v>
      </c>
      <c r="AC19" s="12">
        <v>120</v>
      </c>
      <c r="AD19" s="12"/>
    </row>
    <row r="20" spans="1:31" x14ac:dyDescent="0.35">
      <c r="A20" s="2" t="s">
        <v>32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12</v>
      </c>
      <c r="R20" s="12">
        <v>24</v>
      </c>
      <c r="S20" s="12">
        <v>40</v>
      </c>
      <c r="T20" s="12">
        <v>56</v>
      </c>
      <c r="U20" s="12">
        <v>80</v>
      </c>
      <c r="V20" s="12">
        <v>0</v>
      </c>
      <c r="W20" s="12"/>
      <c r="X20" s="12"/>
      <c r="Y20" s="12"/>
      <c r="Z20" s="12"/>
      <c r="AA20" s="12"/>
      <c r="AB20" s="12"/>
      <c r="AC20" s="12"/>
      <c r="AD20" s="12"/>
    </row>
    <row r="21" spans="1:31" x14ac:dyDescent="0.35">
      <c r="A21" s="9" t="s">
        <v>2</v>
      </c>
      <c r="B21" s="13">
        <f>B12*0.065*3.75+(B13*0.05+B14*0.1+B15*0.3)*4+B16*0.2*9+B17*4.31+B18*0.67+B19*0.675+B20*0.67</f>
        <v>0</v>
      </c>
      <c r="C21" s="13">
        <f t="shared" ref="C21:AC21" si="0">C12*0.065*3.75+(C13*0.05+C14*0.1+C15*0.3)*4+C16*0.2*9+C17*4.31+C18*0.67+C19*0.675+C20*0.67</f>
        <v>36</v>
      </c>
      <c r="D21" s="13">
        <f t="shared" si="0"/>
        <v>64.912499999999994</v>
      </c>
      <c r="E21" s="13">
        <f t="shared" si="0"/>
        <v>71.568749999999994</v>
      </c>
      <c r="F21" s="13">
        <f t="shared" si="0"/>
        <v>71.568749999999994</v>
      </c>
      <c r="G21" s="13">
        <f t="shared" si="0"/>
        <v>89.625</v>
      </c>
      <c r="H21" s="13">
        <f t="shared" si="0"/>
        <v>95.0625</v>
      </c>
      <c r="I21" s="13">
        <f t="shared" si="0"/>
        <v>103.0625</v>
      </c>
      <c r="J21" s="13">
        <f t="shared" si="0"/>
        <v>107.0625</v>
      </c>
      <c r="K21" s="13">
        <f t="shared" si="0"/>
        <v>107.0625</v>
      </c>
      <c r="L21" s="13">
        <f t="shared" si="0"/>
        <v>136.71875</v>
      </c>
      <c r="M21" s="13">
        <f t="shared" si="0"/>
        <v>143.9375</v>
      </c>
      <c r="N21" s="13">
        <f t="shared" si="0"/>
        <v>131.9375</v>
      </c>
      <c r="O21" s="13">
        <f t="shared" si="0"/>
        <v>131.9375</v>
      </c>
      <c r="P21" s="13">
        <f t="shared" si="0"/>
        <v>115.5</v>
      </c>
      <c r="Q21" s="13">
        <f t="shared" si="0"/>
        <v>123.54</v>
      </c>
      <c r="R21" s="13">
        <f t="shared" si="0"/>
        <v>139.58000000000001</v>
      </c>
      <c r="S21" s="13">
        <f t="shared" si="0"/>
        <v>150.30000000000001</v>
      </c>
      <c r="T21" s="13">
        <f t="shared" si="0"/>
        <v>136.14500000000001</v>
      </c>
      <c r="U21" s="13">
        <f t="shared" si="0"/>
        <v>143.22499999999999</v>
      </c>
      <c r="V21" s="13">
        <f t="shared" si="0"/>
        <v>143.98750000000001</v>
      </c>
      <c r="W21" s="13">
        <f t="shared" si="0"/>
        <v>131.0625</v>
      </c>
      <c r="X21" s="13">
        <f t="shared" si="0"/>
        <v>139.23750000000001</v>
      </c>
      <c r="Y21" s="13">
        <f t="shared" si="0"/>
        <v>138.66249999999999</v>
      </c>
      <c r="Z21" s="13">
        <f t="shared" si="0"/>
        <v>152.0625</v>
      </c>
      <c r="AA21" s="13">
        <f t="shared" si="0"/>
        <v>161.64375000000001</v>
      </c>
      <c r="AB21" s="13">
        <f t="shared" si="0"/>
        <v>135.625</v>
      </c>
      <c r="AC21" s="13">
        <f t="shared" si="0"/>
        <v>144.6</v>
      </c>
      <c r="AD21" s="13">
        <f t="shared" ref="AD21" si="1">AD12*0.065*3.75+(AD13*0.05+AD14*0.1+AD15*0.3)*4+AD16*0.2*9+AD17*4.31+AD18*0.67+AD19*675+AD20*0.67</f>
        <v>0</v>
      </c>
    </row>
    <row r="22" spans="1:31" x14ac:dyDescent="0.35">
      <c r="A22" s="2" t="s">
        <v>18</v>
      </c>
      <c r="B22" s="12">
        <f>B12*0.065+B17*0.33+B18*0.018+B19*0.0189+B20*0.011</f>
        <v>0</v>
      </c>
      <c r="C22" s="12">
        <f t="shared" ref="C22:AD22" si="2">C12*0.065+C17*0.33+C18*0.018+C19*0.0189+C20*0.011</f>
        <v>0</v>
      </c>
      <c r="D22" s="12">
        <f t="shared" si="2"/>
        <v>1.9500000000000002</v>
      </c>
      <c r="E22" s="12">
        <f t="shared" si="2"/>
        <v>2.9250000000000003</v>
      </c>
      <c r="F22" s="12">
        <f t="shared" si="2"/>
        <v>2.9250000000000003</v>
      </c>
      <c r="G22" s="12">
        <f t="shared" si="2"/>
        <v>3.9000000000000004</v>
      </c>
      <c r="H22" s="12">
        <f t="shared" si="2"/>
        <v>4.55</v>
      </c>
      <c r="I22" s="12">
        <f t="shared" si="2"/>
        <v>4.55</v>
      </c>
      <c r="J22" s="12">
        <f t="shared" si="2"/>
        <v>4.55</v>
      </c>
      <c r="K22" s="12">
        <f t="shared" si="2"/>
        <v>4.55</v>
      </c>
      <c r="L22" s="12">
        <f t="shared" si="2"/>
        <v>5.5250000000000004</v>
      </c>
      <c r="M22" s="12">
        <f t="shared" si="2"/>
        <v>5.8500000000000005</v>
      </c>
      <c r="N22" s="12">
        <f t="shared" si="2"/>
        <v>5.8500000000000005</v>
      </c>
      <c r="O22" s="12">
        <f t="shared" si="2"/>
        <v>5.8500000000000005</v>
      </c>
      <c r="P22" s="12">
        <f t="shared" si="2"/>
        <v>5.2</v>
      </c>
      <c r="Q22" s="12">
        <f t="shared" si="2"/>
        <v>5.3319999999999999</v>
      </c>
      <c r="R22" s="12">
        <f t="shared" si="2"/>
        <v>5.4640000000000004</v>
      </c>
      <c r="S22" s="12">
        <f t="shared" si="2"/>
        <v>5.6400000000000006</v>
      </c>
      <c r="T22" s="12">
        <f t="shared" si="2"/>
        <v>4.516</v>
      </c>
      <c r="U22" s="12">
        <f t="shared" si="2"/>
        <v>4.78</v>
      </c>
      <c r="V22" s="12">
        <f t="shared" si="2"/>
        <v>5.0644</v>
      </c>
      <c r="W22" s="12">
        <f t="shared" si="2"/>
        <v>4.55</v>
      </c>
      <c r="X22" s="12">
        <f t="shared" si="2"/>
        <v>4.9468999999999994</v>
      </c>
      <c r="Y22" s="12">
        <f t="shared" si="2"/>
        <v>5.1547999999999998</v>
      </c>
      <c r="Z22" s="12">
        <f t="shared" si="2"/>
        <v>5.306</v>
      </c>
      <c r="AA22" s="12">
        <f t="shared" si="2"/>
        <v>5.2834000000000003</v>
      </c>
      <c r="AB22" s="12">
        <f t="shared" si="2"/>
        <v>4.6560000000000006</v>
      </c>
      <c r="AC22" s="12">
        <f t="shared" si="2"/>
        <v>2.2679999999999998</v>
      </c>
      <c r="AD22" s="12">
        <f t="shared" si="2"/>
        <v>0</v>
      </c>
    </row>
    <row r="23" spans="1:31" x14ac:dyDescent="0.35">
      <c r="A23" s="2" t="s">
        <v>17</v>
      </c>
      <c r="B23" s="12">
        <f>B13*0.05+B14*0.1+B15*0.3+B17*0.37+B18*0.072+B19*0.0689+B20*0.07</f>
        <v>0</v>
      </c>
      <c r="C23" s="12">
        <f t="shared" ref="C23:AD23" si="3">C13*0.05+C14*0.1+C15*0.3+C17*0.37+C18*0.072+C19*0.0689+C20*0.07</f>
        <v>9</v>
      </c>
      <c r="D23" s="12">
        <f t="shared" si="3"/>
        <v>9</v>
      </c>
      <c r="E23" s="12">
        <f t="shared" si="3"/>
        <v>8.4</v>
      </c>
      <c r="F23" s="12">
        <f t="shared" si="3"/>
        <v>8.4</v>
      </c>
      <c r="G23" s="12">
        <f t="shared" si="3"/>
        <v>12</v>
      </c>
      <c r="H23" s="12">
        <f t="shared" si="3"/>
        <v>15</v>
      </c>
      <c r="I23" s="12">
        <f t="shared" si="3"/>
        <v>17</v>
      </c>
      <c r="J23" s="12">
        <f t="shared" si="3"/>
        <v>18</v>
      </c>
      <c r="K23" s="12">
        <f t="shared" si="3"/>
        <v>18</v>
      </c>
      <c r="L23" s="12">
        <f t="shared" si="3"/>
        <v>20</v>
      </c>
      <c r="M23" s="12">
        <f t="shared" si="3"/>
        <v>21.5</v>
      </c>
      <c r="N23" s="12">
        <f t="shared" si="3"/>
        <v>18.5</v>
      </c>
      <c r="O23" s="12">
        <f t="shared" si="3"/>
        <v>18.5</v>
      </c>
      <c r="P23" s="12">
        <f t="shared" si="3"/>
        <v>15</v>
      </c>
      <c r="Q23" s="12">
        <f t="shared" si="3"/>
        <v>15.84</v>
      </c>
      <c r="R23" s="12">
        <f t="shared" si="3"/>
        <v>18.68</v>
      </c>
      <c r="S23" s="12">
        <f t="shared" si="3"/>
        <v>19.8</v>
      </c>
      <c r="T23" s="12">
        <f t="shared" si="3"/>
        <v>15.92</v>
      </c>
      <c r="U23" s="12">
        <f t="shared" si="3"/>
        <v>17.600000000000001</v>
      </c>
      <c r="V23" s="12">
        <f t="shared" si="3"/>
        <v>16.6144</v>
      </c>
      <c r="W23" s="12">
        <f t="shared" si="3"/>
        <v>19.5</v>
      </c>
      <c r="X23" s="12">
        <f t="shared" si="3"/>
        <v>19.446899999999999</v>
      </c>
      <c r="Y23" s="12">
        <f t="shared" si="3"/>
        <v>18.204799999999999</v>
      </c>
      <c r="Z23" s="12">
        <f t="shared" si="3"/>
        <v>20.756</v>
      </c>
      <c r="AA23" s="12">
        <f t="shared" si="3"/>
        <v>21.8584</v>
      </c>
      <c r="AB23" s="12">
        <f t="shared" si="3"/>
        <v>17.256</v>
      </c>
      <c r="AC23" s="12">
        <f t="shared" si="3"/>
        <v>18.768000000000001</v>
      </c>
      <c r="AD23" s="12">
        <f t="shared" si="3"/>
        <v>0</v>
      </c>
    </row>
    <row r="24" spans="1:31" x14ac:dyDescent="0.35">
      <c r="A24" s="2" t="s">
        <v>19</v>
      </c>
      <c r="B24" s="12">
        <f>B16*0.2+B17*0.18+B18*0.034+B19*0.0378+B20*0.042</f>
        <v>0</v>
      </c>
      <c r="C24" s="12">
        <f t="shared" ref="C24:AC24" si="4">C16*0.2+C17*0.18+C18*0.034+C19*0.0378+C20*0.042</f>
        <v>0</v>
      </c>
      <c r="D24" s="12">
        <f t="shared" si="4"/>
        <v>2.4000000000000004</v>
      </c>
      <c r="E24" s="12">
        <f t="shared" si="4"/>
        <v>3</v>
      </c>
      <c r="F24" s="12">
        <f t="shared" si="4"/>
        <v>3</v>
      </c>
      <c r="G24" s="12">
        <f t="shared" si="4"/>
        <v>3</v>
      </c>
      <c r="H24" s="12">
        <f t="shared" si="4"/>
        <v>2</v>
      </c>
      <c r="I24" s="12">
        <f t="shared" si="4"/>
        <v>2</v>
      </c>
      <c r="J24" s="12">
        <f t="shared" si="4"/>
        <v>2</v>
      </c>
      <c r="K24" s="12">
        <f t="shared" si="4"/>
        <v>2</v>
      </c>
      <c r="L24" s="12">
        <f t="shared" si="4"/>
        <v>4</v>
      </c>
      <c r="M24" s="12">
        <f t="shared" si="4"/>
        <v>4</v>
      </c>
      <c r="N24" s="12">
        <f t="shared" si="4"/>
        <v>4</v>
      </c>
      <c r="O24" s="12">
        <f t="shared" si="4"/>
        <v>4</v>
      </c>
      <c r="P24" s="12">
        <f t="shared" si="4"/>
        <v>4</v>
      </c>
      <c r="Q24" s="12">
        <f t="shared" si="4"/>
        <v>4.5039999999999996</v>
      </c>
      <c r="R24" s="12">
        <f t="shared" si="4"/>
        <v>5.008</v>
      </c>
      <c r="S24" s="12">
        <f t="shared" si="4"/>
        <v>5.68</v>
      </c>
      <c r="T24" s="12">
        <f t="shared" si="4"/>
        <v>6.3520000000000003</v>
      </c>
      <c r="U24" s="12">
        <f t="shared" si="4"/>
        <v>6.36</v>
      </c>
      <c r="V24" s="12">
        <f t="shared" si="4"/>
        <v>6.6288</v>
      </c>
      <c r="W24" s="12">
        <f t="shared" si="4"/>
        <v>4</v>
      </c>
      <c r="X24" s="12">
        <f t="shared" si="4"/>
        <v>4.7938000000000001</v>
      </c>
      <c r="Y24" s="12">
        <f t="shared" si="4"/>
        <v>5.2096</v>
      </c>
      <c r="Z24" s="12">
        <f t="shared" si="4"/>
        <v>5.5120000000000005</v>
      </c>
      <c r="AA24" s="12">
        <f t="shared" si="4"/>
        <v>6.1167999999999996</v>
      </c>
      <c r="AB24" s="12">
        <f t="shared" si="4"/>
        <v>5.5120000000000005</v>
      </c>
      <c r="AC24" s="12">
        <f t="shared" si="4"/>
        <v>6.9359999999999999</v>
      </c>
      <c r="AD24" s="29" t="s">
        <v>42</v>
      </c>
      <c r="AE24" s="12"/>
    </row>
    <row r="25" spans="1:31" x14ac:dyDescent="0.35">
      <c r="A25" s="11" t="s">
        <v>36</v>
      </c>
      <c r="B25" s="23">
        <f>B21/$B$5*1000</f>
        <v>0</v>
      </c>
      <c r="C25" s="23">
        <f t="shared" ref="C25:G25" si="5">C21/$B$5*1000</f>
        <v>27.692307692307693</v>
      </c>
      <c r="D25" s="23">
        <f t="shared" si="5"/>
        <v>49.932692307692299</v>
      </c>
      <c r="E25" s="23">
        <f t="shared" si="5"/>
        <v>55.052884615384606</v>
      </c>
      <c r="F25" s="23">
        <f t="shared" si="5"/>
        <v>55.052884615384606</v>
      </c>
      <c r="G25" s="23">
        <f t="shared" si="5"/>
        <v>68.942307692307693</v>
      </c>
      <c r="H25" s="23">
        <f>H21/$H$5*1000</f>
        <v>67.901785714285722</v>
      </c>
      <c r="I25" s="23">
        <f t="shared" ref="I25:N25" si="6">I21/$H$5*1000</f>
        <v>73.616071428571431</v>
      </c>
      <c r="J25" s="23">
        <f t="shared" si="6"/>
        <v>76.473214285714278</v>
      </c>
      <c r="K25" s="23">
        <f t="shared" si="6"/>
        <v>76.473214285714278</v>
      </c>
      <c r="L25" s="23">
        <f t="shared" si="6"/>
        <v>97.65625</v>
      </c>
      <c r="M25" s="23">
        <f t="shared" si="6"/>
        <v>102.8125</v>
      </c>
      <c r="N25" s="23">
        <f t="shared" si="6"/>
        <v>94.241071428571431</v>
      </c>
      <c r="O25" s="15">
        <f>O21/$O$5*1000</f>
        <v>94.241071428571431</v>
      </c>
      <c r="P25" s="15">
        <f t="shared" ref="P25:U25" si="7">P21/$O$5*1000</f>
        <v>82.5</v>
      </c>
      <c r="Q25" s="15">
        <f t="shared" si="7"/>
        <v>88.242857142857147</v>
      </c>
      <c r="R25" s="15">
        <f t="shared" si="7"/>
        <v>99.700000000000017</v>
      </c>
      <c r="S25" s="15">
        <f t="shared" si="7"/>
        <v>107.35714285714286</v>
      </c>
      <c r="T25" s="15">
        <f t="shared" si="7"/>
        <v>97.246428571428581</v>
      </c>
      <c r="U25" s="15">
        <f t="shared" si="7"/>
        <v>102.30357142857143</v>
      </c>
      <c r="V25" s="13">
        <f>V21/$V$5*1000</f>
        <v>101.39964788732395</v>
      </c>
      <c r="W25" s="13">
        <f t="shared" ref="W25:AB25" si="8">W21/$V$5*1000</f>
        <v>92.297535211267601</v>
      </c>
      <c r="X25" s="13">
        <f t="shared" si="8"/>
        <v>98.054577464788736</v>
      </c>
      <c r="Y25" s="13">
        <f t="shared" si="8"/>
        <v>97.649647887323937</v>
      </c>
      <c r="Z25" s="13">
        <f t="shared" si="8"/>
        <v>107.08626760563381</v>
      </c>
      <c r="AA25" s="13">
        <f t="shared" si="8"/>
        <v>113.83362676056338</v>
      </c>
      <c r="AB25" s="13">
        <f t="shared" si="8"/>
        <v>95.510563380281681</v>
      </c>
      <c r="AC25" s="15">
        <f>AC21/$AC$5*1000</f>
        <v>96.4</v>
      </c>
      <c r="AD25" s="29">
        <f>HLOOKUP($R$2,$A$4:$AD$24,18,1)/$B$5*1000</f>
        <v>0</v>
      </c>
    </row>
    <row r="26" spans="1:31" x14ac:dyDescent="0.35">
      <c r="A26" s="2" t="s">
        <v>37</v>
      </c>
      <c r="B26" s="23">
        <f t="shared" ref="B26:G28" si="9">B22/$B$5*1000</f>
        <v>0</v>
      </c>
      <c r="C26" s="23">
        <f t="shared" si="9"/>
        <v>0</v>
      </c>
      <c r="D26" s="23">
        <f t="shared" si="9"/>
        <v>1.5</v>
      </c>
      <c r="E26" s="23">
        <f t="shared" si="9"/>
        <v>2.2500000000000004</v>
      </c>
      <c r="F26" s="23">
        <f t="shared" si="9"/>
        <v>2.2500000000000004</v>
      </c>
      <c r="G26" s="23">
        <f t="shared" si="9"/>
        <v>3</v>
      </c>
      <c r="H26" s="23">
        <f t="shared" ref="H26:N28" si="10">H22/$H$5*1000</f>
        <v>3.25</v>
      </c>
      <c r="I26" s="23">
        <f t="shared" si="10"/>
        <v>3.25</v>
      </c>
      <c r="J26" s="23">
        <f t="shared" si="10"/>
        <v>3.25</v>
      </c>
      <c r="K26" s="23">
        <f t="shared" si="10"/>
        <v>3.25</v>
      </c>
      <c r="L26" s="23">
        <f t="shared" si="10"/>
        <v>3.9464285714285721</v>
      </c>
      <c r="M26" s="23">
        <f t="shared" si="10"/>
        <v>4.1785714285714288</v>
      </c>
      <c r="N26" s="23">
        <f t="shared" si="10"/>
        <v>4.1785714285714288</v>
      </c>
      <c r="O26" s="15">
        <f t="shared" ref="O26:U28" si="11">O22/$O$5*1000</f>
        <v>4.1785714285714288</v>
      </c>
      <c r="P26" s="15">
        <f t="shared" si="11"/>
        <v>3.7142857142857144</v>
      </c>
      <c r="Q26" s="15">
        <f t="shared" si="11"/>
        <v>3.8085714285714287</v>
      </c>
      <c r="R26" s="15">
        <f t="shared" si="11"/>
        <v>3.902857142857143</v>
      </c>
      <c r="S26" s="15">
        <f t="shared" si="11"/>
        <v>4.0285714285714294</v>
      </c>
      <c r="T26" s="15">
        <f t="shared" si="11"/>
        <v>3.2257142857142855</v>
      </c>
      <c r="U26" s="15">
        <f t="shared" si="11"/>
        <v>3.4142857142857141</v>
      </c>
      <c r="V26" s="13">
        <f t="shared" ref="V26:AB28" si="12">V22/$V$5*1000</f>
        <v>3.5664788732394368</v>
      </c>
      <c r="W26" s="13">
        <f t="shared" si="12"/>
        <v>3.204225352112676</v>
      </c>
      <c r="X26" s="13">
        <f t="shared" si="12"/>
        <v>3.4837323943661964</v>
      </c>
      <c r="Y26" s="13">
        <f t="shared" si="12"/>
        <v>3.6301408450704225</v>
      </c>
      <c r="Z26" s="13">
        <f t="shared" si="12"/>
        <v>3.7366197183098593</v>
      </c>
      <c r="AA26" s="13">
        <f t="shared" si="12"/>
        <v>3.720704225352113</v>
      </c>
      <c r="AB26" s="13">
        <f t="shared" si="12"/>
        <v>3.2788732394366202</v>
      </c>
      <c r="AC26" s="15">
        <f t="shared" ref="AC26:AC28" si="13">AC22/$AC$5*1000</f>
        <v>1.5119999999999998</v>
      </c>
      <c r="AD26" s="29">
        <f>HLOOKUP($R$2,$A$4:$AD$24,19,1)/$B$5*1000</f>
        <v>0</v>
      </c>
    </row>
    <row r="27" spans="1:31" x14ac:dyDescent="0.35">
      <c r="A27" s="2" t="s">
        <v>38</v>
      </c>
      <c r="B27" s="23">
        <f t="shared" si="9"/>
        <v>0</v>
      </c>
      <c r="C27" s="23">
        <f t="shared" si="9"/>
        <v>6.9230769230769234</v>
      </c>
      <c r="D27" s="23">
        <f t="shared" si="9"/>
        <v>6.9230769230769234</v>
      </c>
      <c r="E27" s="23">
        <f t="shared" si="9"/>
        <v>6.4615384615384626</v>
      </c>
      <c r="F27" s="23">
        <f t="shared" si="9"/>
        <v>6.4615384615384626</v>
      </c>
      <c r="G27" s="23">
        <f t="shared" si="9"/>
        <v>9.2307692307692317</v>
      </c>
      <c r="H27" s="23">
        <f t="shared" si="10"/>
        <v>10.714285714285714</v>
      </c>
      <c r="I27" s="23">
        <f t="shared" si="10"/>
        <v>12.142857142857142</v>
      </c>
      <c r="J27" s="23">
        <f t="shared" si="10"/>
        <v>12.857142857142858</v>
      </c>
      <c r="K27" s="23">
        <f t="shared" si="10"/>
        <v>12.857142857142858</v>
      </c>
      <c r="L27" s="23">
        <f t="shared" si="10"/>
        <v>14.285714285714285</v>
      </c>
      <c r="M27" s="23">
        <f t="shared" si="10"/>
        <v>15.357142857142858</v>
      </c>
      <c r="N27" s="23">
        <f t="shared" si="10"/>
        <v>13.214285714285715</v>
      </c>
      <c r="O27" s="15">
        <f t="shared" si="11"/>
        <v>13.214285714285715</v>
      </c>
      <c r="P27" s="15">
        <f t="shared" si="11"/>
        <v>10.714285714285714</v>
      </c>
      <c r="Q27" s="15">
        <f t="shared" si="11"/>
        <v>11.314285714285715</v>
      </c>
      <c r="R27" s="15">
        <f t="shared" si="11"/>
        <v>13.342857142857142</v>
      </c>
      <c r="S27" s="15">
        <f t="shared" si="11"/>
        <v>14.142857142857142</v>
      </c>
      <c r="T27" s="15">
        <f t="shared" si="11"/>
        <v>11.37142857142857</v>
      </c>
      <c r="U27" s="15">
        <f t="shared" si="11"/>
        <v>12.571428571428571</v>
      </c>
      <c r="V27" s="13">
        <f t="shared" si="12"/>
        <v>11.700281690140846</v>
      </c>
      <c r="W27" s="13">
        <f t="shared" si="12"/>
        <v>13.732394366197184</v>
      </c>
      <c r="X27" s="13">
        <f t="shared" si="12"/>
        <v>13.694999999999999</v>
      </c>
      <c r="Y27" s="13">
        <f t="shared" si="12"/>
        <v>12.820281690140845</v>
      </c>
      <c r="Z27" s="13">
        <f t="shared" si="12"/>
        <v>14.616901408450703</v>
      </c>
      <c r="AA27" s="13">
        <f t="shared" si="12"/>
        <v>15.393239436619718</v>
      </c>
      <c r="AB27" s="13">
        <f t="shared" si="12"/>
        <v>12.152112676056339</v>
      </c>
      <c r="AC27" s="15">
        <f t="shared" si="13"/>
        <v>12.512</v>
      </c>
      <c r="AD27" s="29">
        <f>HLOOKUP($R$2,$A$4:$AD$24,20,1)/$B$5*1000</f>
        <v>0</v>
      </c>
    </row>
    <row r="28" spans="1:31" x14ac:dyDescent="0.35">
      <c r="A28" s="2" t="s">
        <v>39</v>
      </c>
      <c r="B28" s="23">
        <f t="shared" si="9"/>
        <v>0</v>
      </c>
      <c r="C28" s="23">
        <f t="shared" si="9"/>
        <v>0</v>
      </c>
      <c r="D28" s="23">
        <f t="shared" si="9"/>
        <v>1.8461538461538463</v>
      </c>
      <c r="E28" s="23">
        <f t="shared" si="9"/>
        <v>2.3076923076923079</v>
      </c>
      <c r="F28" s="23">
        <f t="shared" si="9"/>
        <v>2.3076923076923079</v>
      </c>
      <c r="G28" s="23">
        <f t="shared" si="9"/>
        <v>2.3076923076923079</v>
      </c>
      <c r="H28" s="23">
        <f t="shared" si="10"/>
        <v>1.4285714285714286</v>
      </c>
      <c r="I28" s="23">
        <f t="shared" si="10"/>
        <v>1.4285714285714286</v>
      </c>
      <c r="J28" s="23">
        <f t="shared" si="10"/>
        <v>1.4285714285714286</v>
      </c>
      <c r="K28" s="23">
        <f t="shared" si="10"/>
        <v>1.4285714285714286</v>
      </c>
      <c r="L28" s="23">
        <f t="shared" si="10"/>
        <v>2.8571428571428572</v>
      </c>
      <c r="M28" s="23">
        <f t="shared" si="10"/>
        <v>2.8571428571428572</v>
      </c>
      <c r="N28" s="23">
        <f t="shared" si="10"/>
        <v>2.8571428571428572</v>
      </c>
      <c r="O28" s="15">
        <f t="shared" si="11"/>
        <v>2.8571428571428572</v>
      </c>
      <c r="P28" s="15">
        <f t="shared" si="11"/>
        <v>2.8571428571428572</v>
      </c>
      <c r="Q28" s="15">
        <f t="shared" si="11"/>
        <v>3.2171428571428566</v>
      </c>
      <c r="R28" s="15">
        <f t="shared" si="11"/>
        <v>3.5771428571428574</v>
      </c>
      <c r="S28" s="15">
        <f t="shared" si="11"/>
        <v>4.0571428571428569</v>
      </c>
      <c r="T28" s="15">
        <f>T24/$O$5*1000</f>
        <v>4.5371428571428574</v>
      </c>
      <c r="U28" s="15">
        <f t="shared" si="11"/>
        <v>4.5428571428571427</v>
      </c>
      <c r="V28" s="13">
        <f t="shared" si="12"/>
        <v>4.6681690140845067</v>
      </c>
      <c r="W28" s="13">
        <f t="shared" si="12"/>
        <v>2.8169014084507045</v>
      </c>
      <c r="X28" s="13">
        <f t="shared" si="12"/>
        <v>3.3759154929577466</v>
      </c>
      <c r="Y28" s="13">
        <f t="shared" si="12"/>
        <v>3.6687323943661974</v>
      </c>
      <c r="Z28" s="13">
        <f t="shared" si="12"/>
        <v>3.8816901408450706</v>
      </c>
      <c r="AA28" s="13">
        <f t="shared" si="12"/>
        <v>4.307605633802817</v>
      </c>
      <c r="AB28" s="13">
        <f t="shared" si="12"/>
        <v>3.8816901408450706</v>
      </c>
      <c r="AC28" s="15">
        <f t="shared" si="13"/>
        <v>4.6239999999999997</v>
      </c>
      <c r="AD28" s="29">
        <f>HLOOKUP($R$2,$A$4:$AD$24,21,1)/$B$5*1000</f>
        <v>0</v>
      </c>
    </row>
    <row r="29" spans="1:31" x14ac:dyDescent="0.35">
      <c r="A29" s="27" t="s">
        <v>41</v>
      </c>
      <c r="B29" s="28">
        <f>(B18+B19+B20)/$B$5*1000</f>
        <v>0</v>
      </c>
      <c r="C29" s="28">
        <f t="shared" ref="C29:G29" si="14">(C18+C19+C20)/$B$5*1000</f>
        <v>0</v>
      </c>
      <c r="D29" s="28">
        <f t="shared" si="14"/>
        <v>0</v>
      </c>
      <c r="E29" s="28">
        <f t="shared" si="14"/>
        <v>0</v>
      </c>
      <c r="F29" s="28">
        <f t="shared" si="14"/>
        <v>0</v>
      </c>
      <c r="G29" s="28">
        <f t="shared" si="14"/>
        <v>0</v>
      </c>
      <c r="H29" s="28">
        <f>(H18+H19+H20)/$H$5*1000</f>
        <v>0</v>
      </c>
      <c r="I29" s="28">
        <f t="shared" ref="I29:N29" si="15">(I18+I19+I20)/$H$5*1000</f>
        <v>0</v>
      </c>
      <c r="J29" s="28">
        <f t="shared" si="15"/>
        <v>0</v>
      </c>
      <c r="K29" s="28">
        <f t="shared" si="15"/>
        <v>0</v>
      </c>
      <c r="L29" s="28">
        <f t="shared" si="15"/>
        <v>0</v>
      </c>
      <c r="M29" s="28">
        <f t="shared" si="15"/>
        <v>0</v>
      </c>
      <c r="N29" s="28">
        <f t="shared" si="15"/>
        <v>0</v>
      </c>
      <c r="O29" s="28">
        <f>(O18+O19+O20)/$O$5*1000</f>
        <v>0</v>
      </c>
      <c r="P29" s="28">
        <f t="shared" ref="P29:U29" si="16">(P18+P19+P20)/$O$5*1000</f>
        <v>0</v>
      </c>
      <c r="Q29" s="28">
        <f t="shared" si="16"/>
        <v>8.5714285714285712</v>
      </c>
      <c r="R29" s="28">
        <f t="shared" si="16"/>
        <v>17.142857142857142</v>
      </c>
      <c r="S29" s="28">
        <f t="shared" si="16"/>
        <v>28.571428571428569</v>
      </c>
      <c r="T29" s="28">
        <f t="shared" si="16"/>
        <v>40</v>
      </c>
      <c r="U29" s="28">
        <f t="shared" si="16"/>
        <v>57.142857142857139</v>
      </c>
      <c r="V29" s="28">
        <f>(V18+V19+V20)/$V$5*1000</f>
        <v>67.605633802816897</v>
      </c>
      <c r="W29" s="28">
        <f t="shared" ref="W29:AC29" si="17">(W18+W19+W20)/$V$5*1000</f>
        <v>0</v>
      </c>
      <c r="X29" s="28">
        <f t="shared" si="17"/>
        <v>14.788732394366196</v>
      </c>
      <c r="Y29" s="28">
        <f t="shared" si="17"/>
        <v>22.535211267605636</v>
      </c>
      <c r="Z29" s="28">
        <f t="shared" si="17"/>
        <v>28.169014084507044</v>
      </c>
      <c r="AA29" s="28">
        <f t="shared" si="17"/>
        <v>39.436619718309863</v>
      </c>
      <c r="AB29" s="28">
        <f>(AB18+AB19+AB20)/$V$5*1000</f>
        <v>28.169014084507044</v>
      </c>
      <c r="AC29" s="28">
        <f>(AC18+AC19+AC20)/$AC$5*1000</f>
        <v>80</v>
      </c>
      <c r="AD29" s="14"/>
    </row>
    <row r="30" spans="1:31" x14ac:dyDescent="0.35">
      <c r="B30" s="10">
        <f>(B10*24+B11)/$B$5*1000</f>
        <v>0</v>
      </c>
      <c r="C30">
        <f t="shared" ref="C30:G30" si="18">(C10*24+C11)/$B$5*1000</f>
        <v>73.846153846153854</v>
      </c>
      <c r="D30">
        <f t="shared" si="18"/>
        <v>69.230769230769241</v>
      </c>
      <c r="E30">
        <f t="shared" si="18"/>
        <v>78.461538461538453</v>
      </c>
      <c r="F30">
        <f t="shared" si="18"/>
        <v>78.461538461538453</v>
      </c>
      <c r="G30">
        <f t="shared" si="18"/>
        <v>87.692307692307693</v>
      </c>
      <c r="H30">
        <f>(H10*24+H11)/$H$5*1000</f>
        <v>51.428571428571431</v>
      </c>
      <c r="I30">
        <f t="shared" ref="I30:N30" si="19">(I10*24+I11)/$H$5*1000</f>
        <v>111.42857142857143</v>
      </c>
      <c r="J30">
        <f t="shared" si="19"/>
        <v>117.14285714285714</v>
      </c>
      <c r="K30">
        <f t="shared" si="19"/>
        <v>117.14285714285714</v>
      </c>
      <c r="L30">
        <f t="shared" si="19"/>
        <v>151.42857142857144</v>
      </c>
      <c r="M30">
        <f t="shared" si="19"/>
        <v>151.42857142857144</v>
      </c>
      <c r="N30">
        <f t="shared" si="19"/>
        <v>151.42857142857144</v>
      </c>
      <c r="O30">
        <f>(O10*24+O11)/$O$5*1000</f>
        <v>151.42857142857144</v>
      </c>
      <c r="P30">
        <f t="shared" ref="P30:U30" si="20">(P10*24+P11)/$O$5*1000</f>
        <v>125.71428571428572</v>
      </c>
      <c r="Q30">
        <f t="shared" si="20"/>
        <v>125.71428571428572</v>
      </c>
      <c r="R30">
        <f t="shared" si="20"/>
        <v>134.28571428571428</v>
      </c>
      <c r="S30">
        <f t="shared" si="20"/>
        <v>125.71428571428572</v>
      </c>
      <c r="T30">
        <f t="shared" si="20"/>
        <v>85.714285714285708</v>
      </c>
      <c r="U30">
        <f t="shared" si="20"/>
        <v>68.571428571428569</v>
      </c>
      <c r="V30">
        <f>(V10*24+V11)/$V$5*1000</f>
        <v>33.802816901408448</v>
      </c>
      <c r="W30">
        <f t="shared" ref="W30:AB30" si="21">(W10*24+W11)/$V$5*1000</f>
        <v>133.09859154929578</v>
      </c>
      <c r="X30">
        <f t="shared" si="21"/>
        <v>133.09859154929578</v>
      </c>
      <c r="Y30">
        <f t="shared" si="21"/>
        <v>124.64788732394366</v>
      </c>
      <c r="Z30">
        <f t="shared" si="21"/>
        <v>124.64788732394366</v>
      </c>
      <c r="AA30">
        <f t="shared" si="21"/>
        <v>120.42253521126761</v>
      </c>
      <c r="AB30">
        <f t="shared" si="21"/>
        <v>103.52112676056338</v>
      </c>
      <c r="AC30">
        <f>(AC10*24+AC11)/$AC$5*1000</f>
        <v>74</v>
      </c>
    </row>
    <row r="31" spans="1:31" x14ac:dyDescent="0.35">
      <c r="A31" t="s">
        <v>65</v>
      </c>
      <c r="B31">
        <f>(B18*18+B17*0.33+B19*18.9+B20*11)/$B$5</f>
        <v>0</v>
      </c>
      <c r="C31">
        <f t="shared" ref="C31:G31" si="22">(C18*18+C17*0.33+C19*18.9+C20*11)/$B$5</f>
        <v>0</v>
      </c>
      <c r="D31">
        <f t="shared" si="22"/>
        <v>0</v>
      </c>
      <c r="E31">
        <f t="shared" si="22"/>
        <v>0</v>
      </c>
      <c r="F31">
        <f t="shared" si="22"/>
        <v>0</v>
      </c>
      <c r="G31">
        <f t="shared" si="22"/>
        <v>0</v>
      </c>
      <c r="H31">
        <f>(H18*18+H17*0.33+H19*18.9+H20*11)/$H$5</f>
        <v>0</v>
      </c>
      <c r="I31">
        <f t="shared" ref="I31:N31" si="23">(I18*18+I17*0.33+I19*18.9+I20*11)/$H$5</f>
        <v>0</v>
      </c>
      <c r="J31">
        <f t="shared" si="23"/>
        <v>0</v>
      </c>
      <c r="K31">
        <f t="shared" si="23"/>
        <v>0</v>
      </c>
      <c r="L31">
        <f t="shared" si="23"/>
        <v>0</v>
      </c>
      <c r="M31">
        <f t="shared" si="23"/>
        <v>0</v>
      </c>
      <c r="N31">
        <f t="shared" si="23"/>
        <v>0</v>
      </c>
      <c r="O31">
        <f>(O18*18+O17*0.33+O19*18.9+O20*11)/$O$5</f>
        <v>0</v>
      </c>
      <c r="P31">
        <f t="shared" ref="P31:U31" si="24">(P18*18+P17*0.33+P19*18.9+P20*11)/$O$5</f>
        <v>0</v>
      </c>
      <c r="Q31">
        <f t="shared" si="24"/>
        <v>9.4285714285714292E-2</v>
      </c>
      <c r="R31">
        <f t="shared" si="24"/>
        <v>0.18857142857142858</v>
      </c>
      <c r="S31">
        <f t="shared" si="24"/>
        <v>0.31428571428571428</v>
      </c>
      <c r="T31">
        <f t="shared" si="24"/>
        <v>0.44</v>
      </c>
      <c r="U31">
        <f t="shared" si="24"/>
        <v>0.62857142857142856</v>
      </c>
      <c r="V31">
        <f>(V18*18+V17*0.33+V19*18.9+V20*11)/$V$5</f>
        <v>1.2777464788732393</v>
      </c>
      <c r="W31">
        <f t="shared" ref="W31:AB31" si="25">(W18*18+W17*0.33+W19*18.9+W20*11)/$V$5</f>
        <v>0</v>
      </c>
      <c r="X31">
        <f t="shared" si="25"/>
        <v>0.27950704225352113</v>
      </c>
      <c r="Y31">
        <f t="shared" si="25"/>
        <v>0.42591549295774644</v>
      </c>
      <c r="Z31">
        <f t="shared" si="25"/>
        <v>0.53239436619718306</v>
      </c>
      <c r="AA31">
        <f t="shared" si="25"/>
        <v>0.74535211267605628</v>
      </c>
      <c r="AB31">
        <f t="shared" si="25"/>
        <v>0.53239436619718306</v>
      </c>
      <c r="AC31">
        <f>(AC18*18+AC17*0.33+AC19*18.9+AC20*11)/$AC$5</f>
        <v>1.512</v>
      </c>
    </row>
    <row r="32" spans="1:31" x14ac:dyDescent="0.35">
      <c r="A32" t="s">
        <v>66</v>
      </c>
      <c r="B32">
        <f>(B17*0.37+B18*72+B19*68.9+B20*70)/$B$5</f>
        <v>0</v>
      </c>
      <c r="C32">
        <f t="shared" ref="C32:G32" si="26">(C17*0.37+C18*72+C19*68.9+C20*70)/$B$5</f>
        <v>0</v>
      </c>
      <c r="D32">
        <f t="shared" si="26"/>
        <v>0</v>
      </c>
      <c r="E32">
        <f t="shared" si="26"/>
        <v>0</v>
      </c>
      <c r="F32">
        <f t="shared" si="26"/>
        <v>0</v>
      </c>
      <c r="G32">
        <f t="shared" si="26"/>
        <v>0</v>
      </c>
      <c r="H32">
        <f>(H17*0.37+H18*72+H19*68.9+H20*70)/$H$5</f>
        <v>0</v>
      </c>
      <c r="I32">
        <f t="shared" ref="I32:N32" si="27">(I17*0.37+I18*72+I19*68.9+I20*70)/$H$5</f>
        <v>0</v>
      </c>
      <c r="J32">
        <f t="shared" si="27"/>
        <v>0</v>
      </c>
      <c r="K32">
        <f t="shared" si="27"/>
        <v>0</v>
      </c>
      <c r="L32">
        <f t="shared" si="27"/>
        <v>0</v>
      </c>
      <c r="M32">
        <f t="shared" si="27"/>
        <v>0</v>
      </c>
      <c r="N32">
        <f t="shared" si="27"/>
        <v>0</v>
      </c>
      <c r="O32">
        <f>(O17*0.37+O18*72+O19*68.9+O20*70)/$O$5</f>
        <v>0</v>
      </c>
      <c r="P32">
        <f t="shared" ref="P32:U32" si="28">(P17*0.37+P18*72+P19*68.9+P20*70)/$O$5</f>
        <v>0</v>
      </c>
      <c r="Q32">
        <f t="shared" si="28"/>
        <v>0.6</v>
      </c>
      <c r="R32">
        <f t="shared" si="28"/>
        <v>1.2</v>
      </c>
      <c r="S32">
        <f t="shared" si="28"/>
        <v>2</v>
      </c>
      <c r="T32">
        <f t="shared" si="28"/>
        <v>2.8</v>
      </c>
      <c r="U32">
        <f t="shared" si="28"/>
        <v>4</v>
      </c>
      <c r="V32">
        <f>(V17*0.37+V18*72+V19*68.9+V20*70)/$V$5</f>
        <v>4.6580281690140852</v>
      </c>
      <c r="W32">
        <f t="shared" ref="W32:AB32" si="29">(W17*0.37+W18*72+W19*68.9+W20*70)/$V$5</f>
        <v>0</v>
      </c>
      <c r="X32">
        <f t="shared" si="29"/>
        <v>1.0189436619718311</v>
      </c>
      <c r="Y32">
        <f t="shared" si="29"/>
        <v>1.5526760563380282</v>
      </c>
      <c r="Z32">
        <f t="shared" si="29"/>
        <v>1.9408450704225353</v>
      </c>
      <c r="AA32">
        <f t="shared" si="29"/>
        <v>2.7171830985915495</v>
      </c>
      <c r="AB32">
        <f t="shared" si="29"/>
        <v>1.9408450704225353</v>
      </c>
      <c r="AC32">
        <f>(AC17*0.37+AC18*72+AC19*68.9+AC20*70)/$AC$5</f>
        <v>5.5119999999999996</v>
      </c>
    </row>
    <row r="33" spans="1:29" x14ac:dyDescent="0.35">
      <c r="A33" t="s">
        <v>67</v>
      </c>
      <c r="B33">
        <f>(B17*0.18+B18*34+B19*37.8+B20*42)/$B$5</f>
        <v>0</v>
      </c>
      <c r="C33">
        <f t="shared" ref="C33:G33" si="30">(C17*0.18+C18*34+C19*37.8+C20*42)/$B$5</f>
        <v>0</v>
      </c>
      <c r="D33">
        <f t="shared" si="30"/>
        <v>0</v>
      </c>
      <c r="E33">
        <f t="shared" si="30"/>
        <v>0</v>
      </c>
      <c r="F33">
        <f t="shared" si="30"/>
        <v>0</v>
      </c>
      <c r="G33">
        <f t="shared" si="30"/>
        <v>0</v>
      </c>
      <c r="H33">
        <f>(H17*0.18+H18*34+H19*37.8+H20*42)/$H$5</f>
        <v>0</v>
      </c>
      <c r="I33">
        <f t="shared" ref="I33:N33" si="31">(I17*0.18+I18*34+I19*37.8+I20*42)/$H$5</f>
        <v>0</v>
      </c>
      <c r="J33">
        <f t="shared" si="31"/>
        <v>0</v>
      </c>
      <c r="K33">
        <f t="shared" si="31"/>
        <v>0</v>
      </c>
      <c r="L33">
        <f t="shared" si="31"/>
        <v>0</v>
      </c>
      <c r="M33">
        <f t="shared" si="31"/>
        <v>0</v>
      </c>
      <c r="N33">
        <f t="shared" si="31"/>
        <v>0</v>
      </c>
      <c r="O33">
        <f>(O17*0.18+O18*34+O19*37.8+O20*42)/$O$5</f>
        <v>0</v>
      </c>
      <c r="P33">
        <f t="shared" ref="P33:U33" si="32">(P17*0.18+P18*34+P19*37.8+P20*42)/$O$5</f>
        <v>0</v>
      </c>
      <c r="Q33">
        <f t="shared" si="32"/>
        <v>0.36</v>
      </c>
      <c r="R33">
        <f t="shared" si="32"/>
        <v>0.72</v>
      </c>
      <c r="S33">
        <f t="shared" si="32"/>
        <v>1.2</v>
      </c>
      <c r="T33">
        <f t="shared" si="32"/>
        <v>1.68</v>
      </c>
      <c r="U33">
        <f t="shared" si="32"/>
        <v>2.4</v>
      </c>
      <c r="V33">
        <f>(V17*0.18+V18*34+V19*37.8+V20*42)/$V$5</f>
        <v>2.5554929577464787</v>
      </c>
      <c r="W33">
        <f t="shared" ref="W33:AB33" si="33">(W17*0.18+W18*34+W19*37.8+W20*42)/$V$5</f>
        <v>0</v>
      </c>
      <c r="X33">
        <f t="shared" si="33"/>
        <v>0.55901408450704226</v>
      </c>
      <c r="Y33">
        <f t="shared" si="33"/>
        <v>0.85183098591549289</v>
      </c>
      <c r="Z33">
        <f t="shared" si="33"/>
        <v>1.0647887323943661</v>
      </c>
      <c r="AA33">
        <f t="shared" si="33"/>
        <v>1.4907042253521126</v>
      </c>
      <c r="AB33">
        <f t="shared" si="33"/>
        <v>1.0647887323943661</v>
      </c>
      <c r="AC33">
        <f>(AC17*0.18+AC18*34+AC19*37.8+AC20*42)/$AC$5</f>
        <v>3.024</v>
      </c>
    </row>
    <row r="34" spans="1:29" x14ac:dyDescent="0.35">
      <c r="A34" t="s">
        <v>68</v>
      </c>
      <c r="B34">
        <f>(B17*4.31+B18*67+B19*67.5+B20*67)/$B$5</f>
        <v>0</v>
      </c>
      <c r="C34">
        <f t="shared" ref="C34:G34" si="34">(C17*4.31+C18*67+C19*67.5+C20*67)/$B$5</f>
        <v>0</v>
      </c>
      <c r="D34">
        <f t="shared" si="34"/>
        <v>0</v>
      </c>
      <c r="E34">
        <f t="shared" si="34"/>
        <v>0</v>
      </c>
      <c r="F34">
        <f t="shared" si="34"/>
        <v>0</v>
      </c>
      <c r="G34">
        <f t="shared" si="34"/>
        <v>0</v>
      </c>
      <c r="H34">
        <f>(H17*4.31+H18*67+H19*67.5+H20*67)/$H$5</f>
        <v>0</v>
      </c>
      <c r="I34">
        <f t="shared" ref="I34:N34" si="35">(I17*4.31+I18*67+I19*67.5+I20*67)/$H$5</f>
        <v>0</v>
      </c>
      <c r="J34">
        <f t="shared" si="35"/>
        <v>0</v>
      </c>
      <c r="K34">
        <f t="shared" si="35"/>
        <v>0</v>
      </c>
      <c r="L34">
        <f t="shared" si="35"/>
        <v>0</v>
      </c>
      <c r="M34">
        <f t="shared" si="35"/>
        <v>0</v>
      </c>
      <c r="N34">
        <f t="shared" si="35"/>
        <v>0</v>
      </c>
      <c r="O34">
        <f>(O17*4.31+O18*67+O19*67.5+O20*67)/$O$5</f>
        <v>0</v>
      </c>
      <c r="P34">
        <f t="shared" ref="P34:U34" si="36">(P17*4.31+P18*67+P19*67.5+P20*67)/$O$5</f>
        <v>0</v>
      </c>
      <c r="Q34">
        <f t="shared" si="36"/>
        <v>0.57428571428571429</v>
      </c>
      <c r="R34">
        <f t="shared" si="36"/>
        <v>1.1485714285714286</v>
      </c>
      <c r="S34">
        <f t="shared" si="36"/>
        <v>1.9142857142857144</v>
      </c>
      <c r="T34">
        <f t="shared" si="36"/>
        <v>2.68</v>
      </c>
      <c r="U34">
        <f t="shared" si="36"/>
        <v>3.8285714285714287</v>
      </c>
      <c r="V34">
        <f>(V17*4.31+V18*67+V19*67.5+V20*67)/$V$5</f>
        <v>4.563380281690141</v>
      </c>
      <c r="W34">
        <f t="shared" ref="W34:AB34" si="37">(W17*4.31+W18*67+W19*67.5+W20*67)/$V$5</f>
        <v>0</v>
      </c>
      <c r="X34">
        <f t="shared" si="37"/>
        <v>0.99823943661971826</v>
      </c>
      <c r="Y34">
        <f t="shared" si="37"/>
        <v>1.5211267605633803</v>
      </c>
      <c r="Z34">
        <f t="shared" si="37"/>
        <v>1.9014084507042253</v>
      </c>
      <c r="AA34">
        <f t="shared" si="37"/>
        <v>2.6619718309859155</v>
      </c>
      <c r="AB34">
        <f t="shared" si="37"/>
        <v>1.9014084507042253</v>
      </c>
      <c r="AC34">
        <f>(AC17*4.31+AC18*67+AC19*67.5+AC20*67)/$AC$5</f>
        <v>5.4</v>
      </c>
    </row>
    <row r="35" spans="1:29" x14ac:dyDescent="0.35">
      <c r="N35" t="s">
        <v>25</v>
      </c>
    </row>
    <row r="36" spans="1:29" ht="26" x14ac:dyDescent="0.6">
      <c r="A36" s="31" t="s">
        <v>8</v>
      </c>
      <c r="B36" s="32"/>
      <c r="C36" s="32"/>
      <c r="D36" s="32"/>
      <c r="E36" s="32"/>
      <c r="F36" s="32"/>
      <c r="O36" s="26">
        <v>44903</v>
      </c>
      <c r="P36" s="26">
        <v>44936</v>
      </c>
      <c r="Q36" s="25">
        <f>P36-O36+1</f>
        <v>34</v>
      </c>
    </row>
    <row r="37" spans="1:29" ht="43.5" x14ac:dyDescent="0.35">
      <c r="A37" s="19" t="s">
        <v>9</v>
      </c>
      <c r="B37" s="19" t="s">
        <v>8</v>
      </c>
      <c r="C37" s="20" t="s">
        <v>10</v>
      </c>
      <c r="D37" s="20" t="s">
        <v>11</v>
      </c>
      <c r="E37" s="21" t="s">
        <v>12</v>
      </c>
      <c r="F37" s="20" t="s">
        <v>15</v>
      </c>
      <c r="H37" s="14"/>
      <c r="I37" s="14"/>
      <c r="O37" s="26">
        <v>45322</v>
      </c>
      <c r="P37" s="26">
        <v>45354</v>
      </c>
      <c r="Q37" s="25">
        <f>P37-O37+1</f>
        <v>33</v>
      </c>
    </row>
    <row r="38" spans="1:29" x14ac:dyDescent="0.35">
      <c r="A38" s="22">
        <v>1</v>
      </c>
      <c r="B38" s="2" t="s">
        <v>16</v>
      </c>
      <c r="C38" s="2">
        <v>18.899999999999999</v>
      </c>
      <c r="D38" s="2">
        <v>37.799999999999997</v>
      </c>
      <c r="E38" s="2">
        <v>68.900000000000006</v>
      </c>
      <c r="F38" s="2">
        <v>67.5</v>
      </c>
    </row>
    <row r="39" spans="1:29" x14ac:dyDescent="0.35">
      <c r="A39" s="22">
        <v>2</v>
      </c>
      <c r="B39" s="2" t="s">
        <v>13</v>
      </c>
      <c r="C39" s="2">
        <v>11</v>
      </c>
      <c r="D39" s="2">
        <v>42</v>
      </c>
      <c r="E39" s="2">
        <v>70</v>
      </c>
      <c r="F39" s="2">
        <v>67</v>
      </c>
    </row>
    <row r="40" spans="1:29" x14ac:dyDescent="0.35">
      <c r="A40" s="22">
        <v>3</v>
      </c>
      <c r="B40" s="2" t="s">
        <v>27</v>
      </c>
      <c r="C40" s="2">
        <v>18</v>
      </c>
      <c r="D40" s="2">
        <v>34</v>
      </c>
      <c r="E40" s="2">
        <v>72</v>
      </c>
      <c r="F40" s="2">
        <v>67</v>
      </c>
    </row>
    <row r="41" spans="1:29" x14ac:dyDescent="0.35">
      <c r="A41" s="22">
        <v>4</v>
      </c>
      <c r="B41" s="2" t="s">
        <v>28</v>
      </c>
      <c r="C41" s="2">
        <v>0.33</v>
      </c>
      <c r="D41" s="2">
        <v>0.18</v>
      </c>
      <c r="E41" s="2">
        <v>0.37</v>
      </c>
      <c r="F41" s="2">
        <v>4.3099999999999996</v>
      </c>
    </row>
    <row r="43" spans="1:29" ht="116" x14ac:dyDescent="0.35">
      <c r="B43" s="30" t="s">
        <v>43</v>
      </c>
      <c r="C43" s="30" t="s">
        <v>44</v>
      </c>
      <c r="D43" s="30" t="s">
        <v>45</v>
      </c>
      <c r="E43" s="30" t="s">
        <v>46</v>
      </c>
      <c r="F43" s="30" t="s">
        <v>42</v>
      </c>
      <c r="G43" s="30" t="s">
        <v>47</v>
      </c>
      <c r="H43" s="30" t="s">
        <v>48</v>
      </c>
      <c r="I43" s="30" t="s">
        <v>49</v>
      </c>
      <c r="J43" s="30" t="s">
        <v>50</v>
      </c>
      <c r="K43" s="30" t="s">
        <v>51</v>
      </c>
      <c r="L43" s="30" t="s">
        <v>52</v>
      </c>
      <c r="M43" s="30" t="s">
        <v>53</v>
      </c>
      <c r="N43" s="30" t="s">
        <v>54</v>
      </c>
      <c r="O43" s="30" t="s">
        <v>55</v>
      </c>
      <c r="P43" s="30" t="s">
        <v>56</v>
      </c>
      <c r="Q43" s="30" t="s">
        <v>57</v>
      </c>
      <c r="R43" s="30" t="s">
        <v>58</v>
      </c>
      <c r="S43" s="30" t="s">
        <v>59</v>
      </c>
    </row>
    <row r="44" spans="1:29" x14ac:dyDescent="0.35">
      <c r="B44">
        <v>1</v>
      </c>
      <c r="C44">
        <v>29</v>
      </c>
      <c r="D44">
        <v>1300</v>
      </c>
      <c r="E44">
        <v>0</v>
      </c>
      <c r="F44">
        <v>1</v>
      </c>
      <c r="G44">
        <v>0</v>
      </c>
      <c r="H44">
        <v>3</v>
      </c>
      <c r="I44">
        <v>1</v>
      </c>
      <c r="J44">
        <v>1</v>
      </c>
      <c r="K44">
        <v>1</v>
      </c>
      <c r="L44">
        <v>3</v>
      </c>
      <c r="M44">
        <v>1</v>
      </c>
      <c r="N44">
        <v>1</v>
      </c>
      <c r="O44">
        <v>0</v>
      </c>
      <c r="P44">
        <v>2</v>
      </c>
      <c r="Q44">
        <v>0</v>
      </c>
      <c r="R44">
        <v>32</v>
      </c>
      <c r="S44">
        <v>3</v>
      </c>
    </row>
  </sheetData>
  <mergeCells count="10">
    <mergeCell ref="A36:F36"/>
    <mergeCell ref="A1:AD1"/>
    <mergeCell ref="B3:AD3"/>
    <mergeCell ref="A9:AD9"/>
    <mergeCell ref="A2:G2"/>
    <mergeCell ref="H2:I2"/>
    <mergeCell ref="J2:K2"/>
    <mergeCell ref="M2:O2"/>
    <mergeCell ref="P2:Q2"/>
    <mergeCell ref="T2:U2"/>
  </mergeCells>
  <pageMargins left="0.7" right="0.7" top="0.75" bottom="0.75" header="0.3" footer="0.3"/>
  <pageSetup orientation="portrait" horizont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Hien Nguyen</dc:creator>
  <cp:lastModifiedBy>Hien Nguyen</cp:lastModifiedBy>
  <dcterms:created xsi:type="dcterms:W3CDTF">2023-07-02T15:13:23Z</dcterms:created>
  <dcterms:modified xsi:type="dcterms:W3CDTF">2024-08-04T15:08:50Z</dcterms:modified>
</cp:coreProperties>
</file>